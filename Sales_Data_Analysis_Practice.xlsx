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activeTab="4"/>
  </bookViews>
  <sheets>
    <sheet name="Sales Data" sheetId="1" r:id="rId1"/>
    <sheet name="Project Guide" sheetId="2" r:id="rId2"/>
    <sheet name="Analysis" sheetId="3" r:id="rId3"/>
    <sheet name="Pivot Table" sheetId="4" r:id="rId4"/>
    <sheet name="Analysis Report" sheetId="5" r:id="rId5"/>
  </sheets>
  <definedNames>
    <definedName name="_xlnm._FilterDatabase" localSheetId="0" hidden="1">'Sales Data'!$A$1:$K$301</definedName>
    <definedName name="_xlnm.Print_Area" localSheetId="4">'Analysis Report'!$A$1:$K$32</definedName>
    <definedName name="Slicer_Product">#N/A</definedName>
    <definedName name="Slicer_Salesperson">#N/A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9" i="4" l="1"/>
  <c r="A28" i="4"/>
  <c r="D19" i="3"/>
  <c r="D20" i="3"/>
  <c r="D21" i="3"/>
  <c r="D22" i="3"/>
  <c r="D23" i="3"/>
  <c r="D24" i="3"/>
  <c r="D25" i="3"/>
  <c r="D26" i="3"/>
  <c r="D27" i="3"/>
  <c r="D18" i="3"/>
  <c r="E10" i="3"/>
  <c r="D10" i="3"/>
  <c r="G10" i="3"/>
  <c r="F10" i="3"/>
  <c r="I5" i="3"/>
  <c r="H5" i="3"/>
  <c r="G5" i="3"/>
  <c r="F5" i="3"/>
  <c r="E5" i="3"/>
  <c r="D5" i="3"/>
  <c r="D31" i="3" l="1"/>
  <c r="D30" i="3"/>
  <c r="D13" i="3"/>
  <c r="D12" i="3"/>
</calcChain>
</file>

<file path=xl/sharedStrings.xml><?xml version="1.0" encoding="utf-8"?>
<sst xmlns="http://schemas.openxmlformats.org/spreadsheetml/2006/main" count="1611" uniqueCount="379">
  <si>
    <t>Order ID</t>
  </si>
  <si>
    <t>Order Date</t>
  </si>
  <si>
    <t>Region</t>
  </si>
  <si>
    <t>Salesperson</t>
  </si>
  <si>
    <t>Product</t>
  </si>
  <si>
    <t>Category</t>
  </si>
  <si>
    <t>Quantity</t>
  </si>
  <si>
    <t>Unit Price</t>
  </si>
  <si>
    <t>Sales Amount</t>
  </si>
  <si>
    <t>Cost</t>
  </si>
  <si>
    <t>Profit</t>
  </si>
  <si>
    <t>ORD1001</t>
  </si>
  <si>
    <t>North</t>
  </si>
  <si>
    <t>Ananya</t>
  </si>
  <si>
    <t>Monitor</t>
  </si>
  <si>
    <t>Electronics</t>
  </si>
  <si>
    <t>ORD1002</t>
  </si>
  <si>
    <t>South</t>
  </si>
  <si>
    <t>Priya</t>
  </si>
  <si>
    <t>Tablet</t>
  </si>
  <si>
    <t>ORD1003</t>
  </si>
  <si>
    <t>West</t>
  </si>
  <si>
    <t>ORD1004</t>
  </si>
  <si>
    <t>Webcam</t>
  </si>
  <si>
    <t>Accessories</t>
  </si>
  <si>
    <t>ORD1005</t>
  </si>
  <si>
    <t>East</t>
  </si>
  <si>
    <t>Aarav</t>
  </si>
  <si>
    <t>Headset</t>
  </si>
  <si>
    <t>ORD1006</t>
  </si>
  <si>
    <t>Office Chair</t>
  </si>
  <si>
    <t>Furniture</t>
  </si>
  <si>
    <t>ORD1007</t>
  </si>
  <si>
    <t>Desk</t>
  </si>
  <si>
    <t>ORD1008</t>
  </si>
  <si>
    <t>Rahul</t>
  </si>
  <si>
    <t>ORD1009</t>
  </si>
  <si>
    <t>Mouse</t>
  </si>
  <si>
    <t>ORD1010</t>
  </si>
  <si>
    <t>Vikram</t>
  </si>
  <si>
    <t>ORD1011</t>
  </si>
  <si>
    <t>Keyboard</t>
  </si>
  <si>
    <t>ORD1012</t>
  </si>
  <si>
    <t>Laptop</t>
  </si>
  <si>
    <t>ORD1013</t>
  </si>
  <si>
    <t>ORD1014</t>
  </si>
  <si>
    <t>ORD1015</t>
  </si>
  <si>
    <t>ORD1016</t>
  </si>
  <si>
    <t>ORD1017</t>
  </si>
  <si>
    <t>ORD1018</t>
  </si>
  <si>
    <t>Sneha</t>
  </si>
  <si>
    <t>ORD1019</t>
  </si>
  <si>
    <t>ORD1020</t>
  </si>
  <si>
    <t>ORD1021</t>
  </si>
  <si>
    <t>ORD1022</t>
  </si>
  <si>
    <t>Printer</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</si>
  <si>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</si>
  <si>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</si>
  <si>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</si>
  <si>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</si>
  <si>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</si>
  <si>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</si>
  <si>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</si>
  <si>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</si>
  <si>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</si>
  <si>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</si>
  <si>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</si>
  <si>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</si>
  <si>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</si>
  <si>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</si>
  <si>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</si>
  <si>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</si>
  <si>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</si>
  <si>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</si>
  <si>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</si>
  <si>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</si>
  <si>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</si>
  <si>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</si>
  <si>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</si>
  <si>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</si>
  <si>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</si>
  <si>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</si>
  <si>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</si>
  <si>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</si>
  <si>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</si>
  <si>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</si>
  <si>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</si>
  <si>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</si>
  <si>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</si>
  <si>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</si>
  <si>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</si>
  <si>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</si>
  <si>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</si>
  <si>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</si>
  <si>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</si>
  <si>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</si>
  <si>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</si>
  <si>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</si>
  <si>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</si>
  <si>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</si>
  <si>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</si>
  <si>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</si>
  <si>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</si>
  <si>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</si>
  <si>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</si>
  <si>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</si>
  <si>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</si>
  <si>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</si>
  <si>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</si>
  <si>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</si>
  <si>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</si>
  <si>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</si>
  <si>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</si>
  <si>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</si>
  <si>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</si>
  <si>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</si>
  <si>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</si>
  <si>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</si>
  <si>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</si>
  <si>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</si>
  <si>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</si>
  <si>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</si>
  <si>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</si>
  <si>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</si>
  <si>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</si>
  <si>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</si>
  <si>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</si>
  <si>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</si>
  <si>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</si>
  <si>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</si>
  <si>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</si>
  <si>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</si>
  <si>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</si>
  <si>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</si>
  <si>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</si>
  <si>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</si>
  <si>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</si>
  <si>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</si>
  <si>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</si>
  <si>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</si>
  <si>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</si>
  <si>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</si>
  <si>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</si>
  <si>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</si>
  <si>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</si>
  <si>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</si>
  <si>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</si>
  <si>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</si>
  <si>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</si>
  <si>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</si>
  <si>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</si>
  <si>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</si>
  <si>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</si>
  <si>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</si>
  <si>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</si>
  <si>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</si>
  <si>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</si>
  <si>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</si>
  <si>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</si>
  <si>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</si>
  <si>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</si>
  <si>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</si>
  <si>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</si>
  <si>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</si>
  <si>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</si>
  <si>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</si>
  <si>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</si>
  <si>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</si>
  <si>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</si>
  <si>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</si>
  <si>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</si>
  <si>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</si>
  <si>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</si>
  <si>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</si>
  <si>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</si>
  <si>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</si>
  <si>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</si>
  <si>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</si>
  <si>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</si>
  <si>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</si>
  <si>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</si>
  <si>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</si>
  <si>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</si>
  <si>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</si>
  <si>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</si>
  <si>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</si>
  <si>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</si>
  <si>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</si>
  <si>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</si>
  <si>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</si>
  <si>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</si>
  <si>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</si>
  <si>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</si>
  <si>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</si>
  <si>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</si>
  <si>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</si>
  <si>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</si>
  <si>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</si>
  <si>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</si>
  <si>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</si>
  <si>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</si>
  <si>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</si>
  <si>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</si>
  <si>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</si>
  <si>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</si>
  <si>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</si>
  <si>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</si>
  <si>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</si>
  <si>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</si>
  <si>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</si>
  <si>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</si>
  <si>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</si>
  <si>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</si>
  <si>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</si>
  <si>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</si>
  <si>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</si>
  <si>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</si>
  <si>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</si>
  <si>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</si>
  <si>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</si>
  <si>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</si>
  <si>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</si>
  <si>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</si>
  <si>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</si>
  <si>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</si>
  <si>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</si>
  <si>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</si>
  <si>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</si>
  <si>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</si>
  <si>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</si>
  <si>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</si>
  <si>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</si>
  <si>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</si>
  <si>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</si>
  <si>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</si>
  <si>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</si>
  <si>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</si>
  <si>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</si>
  <si>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</si>
  <si>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</si>
  <si>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</si>
  <si>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</si>
  <si>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</si>
  <si>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</si>
  <si>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</si>
  <si>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</si>
  <si>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</si>
  <si>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</si>
  <si>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</si>
  <si>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</si>
  <si>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</si>
  <si>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</si>
  <si>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</si>
  <si>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</si>
  <si>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</si>
  <si>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</si>
  <si>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</si>
  <si>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</si>
  <si>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</si>
  <si>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</si>
  <si>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</si>
  <si>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</si>
  <si>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</si>
  <si>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</si>
  <si>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</si>
  <si>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</si>
  <si>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</si>
  <si>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</si>
  <si>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</si>
  <si>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</si>
  <si>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</si>
  <si>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</si>
  <si>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</si>
  <si>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</si>
  <si>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</si>
  <si>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</si>
  <si>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</si>
  <si>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</si>
  <si>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</si>
  <si>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</si>
  <si>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</si>
  <si>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</si>
  <si>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</si>
  <si>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</si>
  <si>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</si>
  <si>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</si>
  <si>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</si>
  <si>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</si>
  <si>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</si>
  <si>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</si>
  <si>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</si>
  <si>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</si>
  <si>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</si>
  <si>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</si>
  <si>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</si>
  <si>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</si>
  <si>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</si>
  <si>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</si>
  <si>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</si>
  <si>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</si>
  <si>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</si>
  <si>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</si>
  <si>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</si>
  <si>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</si>
  <si>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</si>
  <si>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</si>
  <si>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</si>
  <si>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</si>
  <si>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</si>
  <si>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</si>
  <si>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</si>
  <si>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</si>
  <si>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</si>
  <si>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</si>
  <si>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</si>
  <si>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</si>
  <si>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</si>
  <si>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</si>
  <si>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</si>
  <si>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</si>
  <si>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</si>
  <si>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</si>
  <si>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</si>
  <si>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</si>
  <si>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</si>
  <si>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</si>
  <si>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</si>
  <si>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</si>
  <si>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</si>
  <si>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</si>
  <si>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</si>
  <si>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</si>
  <si>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</si>
  <si>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</si>
  <si>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Project Step</t>
  </si>
  <si>
    <t>Task</t>
  </si>
  <si>
    <t>1. Data Preparation</t>
  </si>
  <si>
    <t>Check duplicates, blanks, date format, and convert the data to an Excel Table.</t>
  </si>
  <si>
    <t>2. Basic Analysis</t>
  </si>
  <si>
    <t>Calculate total sales, cost, profit, quantity, and average order value.</t>
  </si>
  <si>
    <t>3. PivotTables</t>
  </si>
  <si>
    <t>Analyze sales/profit by region, product, category, salesperson, and month.</t>
  </si>
  <si>
    <t>4. Charts</t>
  </si>
  <si>
    <t>Create monthly sales trend, regional sales, top products, and category profit charts.</t>
  </si>
  <si>
    <t>5. Dashboard</t>
  </si>
  <si>
    <t>Build a one-page dashboard with KPIs, PivotTables, and charts.</t>
  </si>
  <si>
    <t>6. Business Insights</t>
  </si>
  <si>
    <t>Write 5–7 business insights based on your analysis.</t>
  </si>
  <si>
    <t>SALES ANALYSIS</t>
  </si>
  <si>
    <t>Total Sales</t>
  </si>
  <si>
    <t>Total Cost</t>
  </si>
  <si>
    <t>Total Profit</t>
  </si>
  <si>
    <t>Total Quantity</t>
  </si>
  <si>
    <t>Average Sales</t>
  </si>
  <si>
    <t>Number of Orders</t>
  </si>
  <si>
    <t>Best Region</t>
  </si>
  <si>
    <t>Highest Sales</t>
  </si>
  <si>
    <t>Top Product</t>
  </si>
  <si>
    <t>highest product sales:</t>
  </si>
  <si>
    <t>1. Create KPI Calculations</t>
  </si>
  <si>
    <t>2. Analyze Sales by Region</t>
  </si>
  <si>
    <t>3. Analyze Products</t>
  </si>
  <si>
    <t>3a. Find the Top Product</t>
  </si>
  <si>
    <t>Row Labels</t>
  </si>
  <si>
    <t>Grand Total</t>
  </si>
  <si>
    <t>Sum of Sales Amount</t>
  </si>
  <si>
    <t>Sum of Profit</t>
  </si>
  <si>
    <t>1. Region Analysis</t>
  </si>
  <si>
    <t>2. Product Sales PivotTable</t>
  </si>
  <si>
    <t>Jan</t>
  </si>
  <si>
    <t>Feb</t>
  </si>
  <si>
    <t>Mar</t>
  </si>
  <si>
    <t>Apr</t>
  </si>
  <si>
    <t>May</t>
  </si>
  <si>
    <t>Jun</t>
  </si>
  <si>
    <t>Jul</t>
  </si>
  <si>
    <t>Which month had the highest sales?</t>
  </si>
  <si>
    <t>4. Salesperson Performance</t>
  </si>
  <si>
    <t>2.  Monthly Sales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</si>
</sst>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m\-yyyy"/>
    <numFmt numFmtId="165" formatCode="\₹#,##0"/>
    <numFmt numFmtId="166" formatCode="&quot;₹&quot;\ #,##0.00"/>
  </numFmts>
  <fonts count="3">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164" fontId="0" fillId="0" borderId="0" xfId="0" applyNumberFormat="1"/>
    <xf numFmtId="165"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xf numFmtId="166" fontId="0" fillId="0" borderId="0" xfId="0" applyNumberFormat="1"/>
    <xf numFmtId="0" fontId="2" fillId="0" borderId="0" xfId="0" applyFont="1" applyAlignment="1">
      <alignment vertical="center" wrapText="1"/>
    </xf>
    <xf numFmtId="0" fontId="2" fillId="0" borderId="0" xfId="0" applyFont="1" applyAlignment="1">
      <alignment horizontal="center"/>
    </xf>
    <xf numFmtId="0" fontId="0" fillId="0" borderId="0" xfId="0" applyFont="1" applyAlignment="1">
      <alignment horizontal="center"/>
    </xf>
    <xf numFmtId="166" fontId="0" fillId="0" borderId="0" xfId="0" applyNumberFormat="1" applyFont="1" applyAlignment="1">
      <alignment horizontal="center"/>
    </xf>
    <xf numFmtId="166" fontId="2" fillId="0" borderId="0" xfId="0" applyNumberFormat="1" applyFont="1" applyAlignment="1">
      <alignment horizontal="center"/>
    </xf>
    <xf numFmtId="2" fontId="2"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vertical="center"/>
    </xf>
    <xf numFmtId="166"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2" fillId="0" borderId="2" xfId="0" applyFont="1" applyBorder="1"/>
    <xf numFmtId="166" fontId="0" fillId="0" borderId="2" xfId="0" applyNumberFormat="1" applyBorder="1" applyAlignment="1">
      <alignment vertical="center"/>
    </xf>
    <xf numFmtId="2" fontId="0" fillId="0" borderId="2" xfId="0" applyNumberFormat="1" applyBorder="1" applyAlignment="1">
      <alignment horizontal="center"/>
    </xf>
    <xf numFmtId="0" fontId="0" fillId="0" borderId="0" xfId="0" applyFill="1" applyAlignment="1">
      <alignment horizontal="left"/>
    </xf>
    <xf numFmtId="0" fontId="2" fillId="0" borderId="0" xfId="0" applyFont="1" applyAlignment="1">
      <alignment horizontal="center"/>
    </xf>
    <xf numFmtId="0" fontId="2" fillId="0" borderId="0" xfId="0" applyFont="1" applyAlignment="1">
      <alignment horizontal="center" vertical="center" wrapText="1"/>
    </xf>
    <xf numFmtId="166" fontId="0" fillId="0" borderId="0" xfId="0" applyNumberFormat="1" applyFont="1" applyAlignment="1">
      <alignment horizontal="center"/>
    </xf>
    <xf numFmtId="0" fontId="0" fillId="0" borderId="0" xfId="0" applyFont="1" applyAlignment="1">
      <alignment horizontal="center"/>
    </xf>
    <xf numFmtId="0" fontId="2" fillId="0" borderId="2" xfId="0" applyFont="1" applyBorder="1" applyAlignment="1">
      <alignment horizontal="center" vertical="center"/>
    </xf>
  </cellXfs>
  <cellStyles count="1">
    <cellStyle name="Normal" xfId="0" builtinId="0"/>
  </cellStyles>
  <dxfs count="39">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numFmt numFmtId="166" formatCode="&quot;₹&quot;\ #,##0.00"/>
    </dxf>
    <dxf>
      <alignment horizontal="center" readingOrder="0"/>
    </dxf>
    <dxf>
      <fill>
        <patternFill patternType="none">
          <bgColor auto="1"/>
        </patternFill>
      </fill>
    </dxf>
    <dxf>
      <numFmt numFmtId="166" formatCode="&quot;₹&quot;\ #,##0.00"/>
    </dxf>
    <dxf>
      <alignment horizontal="center" readingOrder="0"/>
    </dxf>
    <dxf>
      <numFmt numFmtId="166" formatCode="&quot;₹&quot;\ #,##0.00"/>
    </dxf>
    <dxf>
      <alignment horizontal="center" readingOrder="0"/>
    </dxf>
    <dxf>
      <numFmt numFmtId="166" formatCode="&quot;₹&quot;\ #,##0.00"/>
    </dxf>
    <dxf>
      <numFmt numFmtId="166" formatCode="&quot;₹&quot;\ #,##0.00"/>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33CC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Table!PivotTable3</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'Pivot Table'!$B$17</c:f>
              <c:strCache>
                <c:ptCount val="1"/>
                <c:pt idx="0">
                  <c:v>Total</c:v>
                </c:pt>
              </c:strCache>
            </c:strRef>
          </c:tx>
          <c:invertIfNegative val="0"/>
          <c:cat>
            <c:strRef>
              <c:f>'Pivot Table'!$A$18:$A$25</c:f>
              <c:strCache>
                <c:ptCount val="7"/>
                <c:pt idx="0">
                  <c:v>Jan</c:v>
                </c:pt>
                <c:pt idx="1">
                  <c:v>Feb</c:v>
                </c:pt>
                <c:pt idx="2">
                  <c:v>Mar</c:v>
                </c:pt>
                <c:pt idx="3">
                  <c:v>Apr</c:v>
                </c:pt>
                <c:pt idx="4">
                  <c:v>May</c:v>
                </c:pt>
                <c:pt idx="5">
                  <c:v>Jun</c:v>
                </c:pt>
                <c:pt idx="6">
                  <c:v>Jul</c:v>
                </c:pt>
              </c:strCache>
            </c:strRef>
          </c:cat>
          <c:val>
            <c:numRef>
              <c:f>'Pivot Table'!$B$18:$B$25</c:f>
              <c:numCache>
                <c:formatCode>"₹"\ #,##0.00</c:formatCode>
                <c:ptCount val="7"/>
                <c:pt idx="0">
                  <c:v>2869930</c:v>
                </c:pt>
                <c:pt idx="1">
                  <c:v>1992680</c:v>
                </c:pt>
                <c:pt idx="2">
                  <c:v>2162990</c:v>
                </c:pt>
                <c:pt idx="3">
                  <c:v>3546870</c:v>
                </c:pt>
                <c:pt idx="4">
                  <c:v>2318910</c:v>
                </c:pt>
                <c:pt idx="5">
                  <c:v>2740140</c:v>
                </c:pt>
                <c:pt idx="6">
                  <c:v>2994250</c:v>
                </c:pt>
              </c:numCache>
            </c:numRef>
          </c:val>
        </c:ser>
        <c:dLbls>
          <c:showLegendKey val="0"/>
          <c:showVal val="0"/>
          <c:showCatName val="0"/>
          <c:showSerName val="0"/>
          <c:showPercent val="0"/>
          <c:showBubbleSize val="0"/>
        </c:dLbls>
        <c:gapWidth val="150"/>
        <c:axId val="206162176"/>
        <c:axId val="206163968"/>
      </c:barChart>
      <c:catAx>
        <c:axId val="206162176"/>
        <c:scaling>
          <c:orientation val="minMax"/>
        </c:scaling>
        <c:delete val="0"/>
        <c:axPos val="b"/>
        <c:majorTickMark val="out"/>
        <c:minorTickMark val="none"/>
        <c:tickLblPos val="nextTo"/>
        <c:crossAx val="206163968"/>
        <c:crosses val="autoZero"/>
        <c:auto val="1"/>
        <c:lblAlgn val="ctr"/>
        <c:lblOffset val="100"/>
        <c:noMultiLvlLbl val="0"/>
      </c:catAx>
      <c:valAx>
        <c:axId val="206163968"/>
        <c:scaling>
          <c:orientation val="minMax"/>
        </c:scaling>
        <c:delete val="0"/>
        <c:axPos val="l"/>
        <c:majorGridlines/>
        <c:numFmt formatCode="&quot;₹&quot;\ #,##0.00" sourceLinked="1"/>
        <c:majorTickMark val="out"/>
        <c:minorTickMark val="none"/>
        <c:tickLblPos val="nextTo"/>
        <c:crossAx val="2061621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Table!PivotTable1</c:name>
    <c:fmtId val="1"/>
  </c:pivotSource>
  <c:chart>
    <c:title>
      <c:layout/>
      <c:overlay val="0"/>
    </c:title>
    <c:autoTitleDeleted val="0"/>
    <c:pivotFmts>
      <c:pivotFmt>
        <c:idx val="0"/>
        <c:marker>
          <c:symbol val="none"/>
        </c:marker>
        <c:dLbl>
          <c:idx val="0"/>
          <c:spPr/>
          <c:txPr>
            <a:bodyPr/>
            <a:lstStyle/>
            <a:p>
              <a:pPr>
                <a:defRPr/>
              </a:pPr>
              <a:endParaRPr lang="en-US"/>
            </a:p>
          </c:txPr>
          <c:dLblPos val="bestFit"/>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dLblPos val="bestFit"/>
          <c:showLegendKey val="0"/>
          <c:showVal val="1"/>
          <c:showCatName val="0"/>
          <c:showSerName val="0"/>
          <c:showPercent val="0"/>
          <c:showBubbleSize val="0"/>
        </c:dLbl>
      </c:pivotFmt>
    </c:pivotFmts>
    <c:plotArea>
      <c:layout/>
      <c:pieChart>
        <c:varyColors val="1"/>
        <c:ser>
          <c:idx val="0"/>
          <c:order val="0"/>
          <c:tx>
            <c:strRef>
              <c:f>'Pivot Table'!$B$3</c:f>
              <c:strCache>
                <c:ptCount val="1"/>
                <c:pt idx="0">
                  <c:v>Total</c:v>
                </c:pt>
              </c:strCache>
            </c:strRef>
          </c:tx>
          <c:dLbls>
            <c:spPr/>
            <c:txPr>
              <a:bodyPr/>
              <a:lstStyle/>
              <a:p>
                <a:pPr>
                  <a:defRPr/>
                </a:pPr>
                <a:endParaRPr lang="en-US"/>
              </a:p>
            </c:txPr>
            <c:dLblPos val="bestFit"/>
            <c:showLegendKey val="0"/>
            <c:showVal val="1"/>
            <c:showCatName val="0"/>
            <c:showSerName val="0"/>
            <c:showPercent val="0"/>
            <c:showBubbleSize val="0"/>
            <c:showLeaderLines val="1"/>
          </c:dLbls>
          <c:cat>
            <c:strRef>
              <c:f>'Pivot Table'!$A$4:$A$8</c:f>
              <c:strCache>
                <c:ptCount val="4"/>
                <c:pt idx="0">
                  <c:v>East</c:v>
                </c:pt>
                <c:pt idx="1">
                  <c:v>North</c:v>
                </c:pt>
                <c:pt idx="2">
                  <c:v>South</c:v>
                </c:pt>
                <c:pt idx="3">
                  <c:v>West</c:v>
                </c:pt>
              </c:strCache>
            </c:strRef>
          </c:cat>
          <c:val>
            <c:numRef>
              <c:f>'Pivot Table'!$B$4:$B$8</c:f>
              <c:numCache>
                <c:formatCode>"₹"\ #,##0.00</c:formatCode>
                <c:ptCount val="4"/>
                <c:pt idx="0">
                  <c:v>700120</c:v>
                </c:pt>
                <c:pt idx="1">
                  <c:v>272350</c:v>
                </c:pt>
                <c:pt idx="2">
                  <c:v>337300</c:v>
                </c:pt>
                <c:pt idx="3">
                  <c:v>1269920</c:v>
                </c:pt>
              </c:numCache>
            </c:numRef>
          </c:val>
        </c:ser>
        <c:dLbls>
          <c:dLblPos val="bestFit"/>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Table!PivotTable2</c:name>
    <c:fmtId val="0"/>
  </c:pivotSource>
  <c:chart>
    <c:title>
      <c:layout/>
      <c:overlay val="0"/>
    </c:title>
    <c:autoTitleDeleted val="0"/>
    <c:pivotFmts>
      <c:pivotFmt>
        <c:idx val="0"/>
        <c:marker>
          <c:symbol val="none"/>
        </c:marker>
      </c:pivotFmt>
      <c:pivotFmt>
        <c:idx val="1"/>
      </c:pivotFmt>
    </c:pivotFmts>
    <c:plotArea>
      <c:layout/>
      <c:barChart>
        <c:barDir val="bar"/>
        <c:grouping val="clustered"/>
        <c:varyColors val="0"/>
        <c:ser>
          <c:idx val="0"/>
          <c:order val="0"/>
          <c:tx>
            <c:strRef>
              <c:f>'Pivot Table'!$B$33</c:f>
              <c:strCache>
                <c:ptCount val="1"/>
                <c:pt idx="0">
                  <c:v>Total</c:v>
                </c:pt>
              </c:strCache>
            </c:strRef>
          </c:tx>
          <c:invertIfNegative val="0"/>
          <c:cat>
            <c:strRef>
              <c:f>'Pivot Table'!$A$34:$A$39</c:f>
              <c:strCache>
                <c:ptCount val="5"/>
                <c:pt idx="0">
                  <c:v>Desk</c:v>
                </c:pt>
                <c:pt idx="1">
                  <c:v>Laptop</c:v>
                </c:pt>
                <c:pt idx="2">
                  <c:v>Monitor</c:v>
                </c:pt>
                <c:pt idx="3">
                  <c:v>Printer</c:v>
                </c:pt>
                <c:pt idx="4">
                  <c:v>Tablet</c:v>
                </c:pt>
              </c:strCache>
            </c:strRef>
          </c:cat>
          <c:val>
            <c:numRef>
              <c:f>'Pivot Table'!$B$34:$B$39</c:f>
              <c:numCache>
                <c:formatCode>"₹"\ #,##0.00</c:formatCode>
                <c:ptCount val="5"/>
                <c:pt idx="0">
                  <c:v>2765060</c:v>
                </c:pt>
                <c:pt idx="1">
                  <c:v>4065840</c:v>
                </c:pt>
                <c:pt idx="2">
                  <c:v>2908430</c:v>
                </c:pt>
                <c:pt idx="3">
                  <c:v>2126380</c:v>
                </c:pt>
                <c:pt idx="4">
                  <c:v>3900840</c:v>
                </c:pt>
              </c:numCache>
            </c:numRef>
          </c:val>
        </c:ser>
        <c:dLbls>
          <c:showLegendKey val="0"/>
          <c:showVal val="0"/>
          <c:showCatName val="0"/>
          <c:showSerName val="0"/>
          <c:showPercent val="0"/>
          <c:showBubbleSize val="0"/>
        </c:dLbls>
        <c:gapWidth val="150"/>
        <c:axId val="206937472"/>
        <c:axId val="206943360"/>
      </c:barChart>
      <c:catAx>
        <c:axId val="206937472"/>
        <c:scaling>
          <c:orientation val="minMax"/>
        </c:scaling>
        <c:delete val="0"/>
        <c:axPos val="l"/>
        <c:majorTickMark val="out"/>
        <c:minorTickMark val="none"/>
        <c:tickLblPos val="nextTo"/>
        <c:crossAx val="206943360"/>
        <c:crosses val="autoZero"/>
        <c:auto val="1"/>
        <c:lblAlgn val="ctr"/>
        <c:lblOffset val="100"/>
        <c:noMultiLvlLbl val="0"/>
      </c:catAx>
      <c:valAx>
        <c:axId val="206943360"/>
        <c:scaling>
          <c:orientation val="minMax"/>
        </c:scaling>
        <c:delete val="0"/>
        <c:axPos val="b"/>
        <c:majorGridlines/>
        <c:numFmt formatCode="&quot;₹&quot;\ #,##0.00" sourceLinked="1"/>
        <c:majorTickMark val="out"/>
        <c:minorTickMark val="none"/>
        <c:tickLblPos val="nextTo"/>
        <c:txPr>
          <a:bodyPr/>
          <a:lstStyle/>
          <a:p>
            <a:pPr>
              <a:defRPr sz="950" baseline="0"/>
            </a:pPr>
            <a:endParaRPr lang="en-US"/>
          </a:p>
        </c:txPr>
        <c:crossAx val="2069374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Table!PivotTable5</c:name>
    <c:fmtId val="1"/>
  </c:pivotSource>
  <c:chart>
    <c:title>
      <c:layout/>
      <c:overlay val="0"/>
    </c:title>
    <c:autoTitleDeleted val="0"/>
    <c:pivotFmts>
      <c:pivotFmt>
        <c:idx val="0"/>
        <c:marker>
          <c:symbol val="none"/>
        </c:marker>
      </c:pivotFmt>
    </c:pivotFmts>
    <c:plotArea>
      <c:layout/>
      <c:doughnutChart>
        <c:varyColors val="1"/>
        <c:ser>
          <c:idx val="0"/>
          <c:order val="0"/>
          <c:tx>
            <c:strRef>
              <c:f>'Pivot Table'!$B$60</c:f>
              <c:strCache>
                <c:ptCount val="1"/>
                <c:pt idx="0">
                  <c:v>Total</c:v>
                </c:pt>
              </c:strCache>
            </c:strRef>
          </c:tx>
          <c:cat>
            <c:strRef>
              <c:f>'Pivot Table'!$A$61:$A$64</c:f>
              <c:strCache>
                <c:ptCount val="3"/>
                <c:pt idx="0">
                  <c:v>Accessories</c:v>
                </c:pt>
                <c:pt idx="1">
                  <c:v>Electronics</c:v>
                </c:pt>
                <c:pt idx="2">
                  <c:v>Furniture</c:v>
                </c:pt>
              </c:strCache>
            </c:strRef>
          </c:cat>
          <c:val>
            <c:numRef>
              <c:f>'Pivot Table'!$B$61:$B$64</c:f>
              <c:numCache>
                <c:formatCode>"₹"\ #,##0.00</c:formatCode>
                <c:ptCount val="3"/>
                <c:pt idx="0">
                  <c:v>386070</c:v>
                </c:pt>
                <c:pt idx="1">
                  <c:v>3256100</c:v>
                </c:pt>
                <c:pt idx="2">
                  <c:v>1035400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Table!PivotTable1</c:name>
    <c:fmtId val="3"/>
  </c:pivotSource>
  <c:chart>
    <c:title>
      <c:tx>
        <c:rich>
          <a:bodyPr/>
          <a:lstStyle/>
          <a:p>
            <a:pPr>
              <a:defRPr/>
            </a:pPr>
            <a:r>
              <a:rPr lang="en-IN" sz="1800" b="1" i="0" u="none" strike="noStrike" baseline="0"/>
              <a:t>Sales by Region</a:t>
            </a:r>
          </a:p>
        </c:rich>
      </c:tx>
      <c:layout/>
      <c:overlay val="0"/>
    </c:title>
    <c:autoTitleDeleted val="0"/>
    <c:pivotFmts>
      <c:pivotFmt>
        <c:idx val="0"/>
        <c:marker>
          <c:symbol val="none"/>
        </c:marker>
        <c:dLbl>
          <c:idx val="0"/>
          <c:spPr/>
          <c:txPr>
            <a:bodyPr/>
            <a:lstStyle/>
            <a:p>
              <a:pPr>
                <a:defRPr/>
              </a:pPr>
              <a:endParaRPr lang="en-US"/>
            </a:p>
          </c:txPr>
          <c:dLblPos val="bestFit"/>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bestFit"/>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bestFit"/>
          <c:showLegendKey val="0"/>
          <c:showVal val="1"/>
          <c:showCatName val="0"/>
          <c:showSerName val="0"/>
          <c:showPercent val="0"/>
          <c:showBubbleSize val="0"/>
        </c:dLbl>
      </c:pivotFmt>
      <c:pivotFmt>
        <c:idx val="3"/>
        <c:marker>
          <c:symbol val="none"/>
        </c:marker>
        <c:dLbl>
          <c:idx val="0"/>
          <c:layout/>
          <c:spPr/>
          <c:txPr>
            <a:bodyPr/>
            <a:lstStyle/>
            <a:p>
              <a:pPr>
                <a:defRPr/>
              </a:pPr>
              <a:endParaRPr lang="en-US"/>
            </a:p>
          </c:txPr>
          <c:dLblPos val="bestFit"/>
          <c:showLegendKey val="0"/>
          <c:showVal val="1"/>
          <c:showCatName val="0"/>
          <c:showSerName val="0"/>
          <c:showPercent val="0"/>
          <c:showBubbleSize val="0"/>
        </c:dLbl>
      </c:pivotFmt>
    </c:pivotFmts>
    <c:plotArea>
      <c:layout/>
      <c:pieChart>
        <c:varyColors val="1"/>
        <c:ser>
          <c:idx val="0"/>
          <c:order val="0"/>
          <c:tx>
            <c:strRef>
              <c:f>'Pivot Table'!$B$3</c:f>
              <c:strCache>
                <c:ptCount val="1"/>
                <c:pt idx="0">
                  <c:v>Total</c:v>
                </c:pt>
              </c:strCache>
            </c:strRef>
          </c:tx>
          <c:dLbls>
            <c:spPr/>
            <c:txPr>
              <a:bodyPr/>
              <a:lstStyle/>
              <a:p>
                <a:pPr>
                  <a:defRPr/>
                </a:pPr>
                <a:endParaRPr lang="en-US"/>
              </a:p>
            </c:txPr>
            <c:dLblPos val="bestFit"/>
            <c:showLegendKey val="0"/>
            <c:showVal val="1"/>
            <c:showCatName val="0"/>
            <c:showSerName val="0"/>
            <c:showPercent val="0"/>
            <c:showBubbleSize val="0"/>
            <c:showLeaderLines val="1"/>
          </c:dLbls>
          <c:cat>
            <c:strRef>
              <c:f>'Pivot Table'!$A$4:$A$8</c:f>
              <c:strCache>
                <c:ptCount val="4"/>
                <c:pt idx="0">
                  <c:v>East</c:v>
                </c:pt>
                <c:pt idx="1">
                  <c:v>North</c:v>
                </c:pt>
                <c:pt idx="2">
                  <c:v>South</c:v>
                </c:pt>
                <c:pt idx="3">
                  <c:v>West</c:v>
                </c:pt>
              </c:strCache>
            </c:strRef>
          </c:cat>
          <c:val>
            <c:numRef>
              <c:f>'Pivot Table'!$B$4:$B$8</c:f>
              <c:numCache>
                <c:formatCode>"₹"\ #,##0.00</c:formatCode>
                <c:ptCount val="4"/>
                <c:pt idx="0">
                  <c:v>700120</c:v>
                </c:pt>
                <c:pt idx="1">
                  <c:v>272350</c:v>
                </c:pt>
                <c:pt idx="2">
                  <c:v>337300</c:v>
                </c:pt>
                <c:pt idx="3">
                  <c:v>1269920</c:v>
                </c:pt>
              </c:numCache>
            </c:numRef>
          </c:val>
        </c:ser>
        <c:dLbls>
          <c:dLblPos val="bestFit"/>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Table!PivotTable3</c:name>
    <c:fmtId val="2"/>
  </c:pivotSource>
  <c:chart>
    <c:title>
      <c:tx>
        <c:rich>
          <a:bodyPr/>
          <a:lstStyle/>
          <a:p>
            <a:pPr>
              <a:defRPr/>
            </a:pPr>
            <a:r>
              <a:rPr lang="en-IN" sz="1800" b="1" i="0" u="none" strike="noStrike" baseline="0"/>
              <a:t>Monthly Sales Trend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Table'!$B$17</c:f>
              <c:strCache>
                <c:ptCount val="1"/>
                <c:pt idx="0">
                  <c:v>Total</c:v>
                </c:pt>
              </c:strCache>
            </c:strRef>
          </c:tx>
          <c:invertIfNegative val="0"/>
          <c:cat>
            <c:strRef>
              <c:f>'Pivot Table'!$A$18:$A$25</c:f>
              <c:strCache>
                <c:ptCount val="7"/>
                <c:pt idx="0">
                  <c:v>Jan</c:v>
                </c:pt>
                <c:pt idx="1">
                  <c:v>Feb</c:v>
                </c:pt>
                <c:pt idx="2">
                  <c:v>Mar</c:v>
                </c:pt>
                <c:pt idx="3">
                  <c:v>Apr</c:v>
                </c:pt>
                <c:pt idx="4">
                  <c:v>May</c:v>
                </c:pt>
                <c:pt idx="5">
                  <c:v>Jun</c:v>
                </c:pt>
                <c:pt idx="6">
                  <c:v>Jul</c:v>
                </c:pt>
              </c:strCache>
            </c:strRef>
          </c:cat>
          <c:val>
            <c:numRef>
              <c:f>'Pivot Table'!$B$18:$B$25</c:f>
              <c:numCache>
                <c:formatCode>"₹"\ #,##0.00</c:formatCode>
                <c:ptCount val="7"/>
                <c:pt idx="0">
                  <c:v>2869930</c:v>
                </c:pt>
                <c:pt idx="1">
                  <c:v>1992680</c:v>
                </c:pt>
                <c:pt idx="2">
                  <c:v>2162990</c:v>
                </c:pt>
                <c:pt idx="3">
                  <c:v>3546870</c:v>
                </c:pt>
                <c:pt idx="4">
                  <c:v>2318910</c:v>
                </c:pt>
                <c:pt idx="5">
                  <c:v>2740140</c:v>
                </c:pt>
                <c:pt idx="6">
                  <c:v>2994250</c:v>
                </c:pt>
              </c:numCache>
            </c:numRef>
          </c:val>
        </c:ser>
        <c:dLbls>
          <c:showLegendKey val="0"/>
          <c:showVal val="0"/>
          <c:showCatName val="0"/>
          <c:showSerName val="0"/>
          <c:showPercent val="0"/>
          <c:showBubbleSize val="0"/>
        </c:dLbls>
        <c:gapWidth val="150"/>
        <c:axId val="206244096"/>
        <c:axId val="206266368"/>
      </c:barChart>
      <c:catAx>
        <c:axId val="206244096"/>
        <c:scaling>
          <c:orientation val="minMax"/>
        </c:scaling>
        <c:delete val="0"/>
        <c:axPos val="b"/>
        <c:majorTickMark val="out"/>
        <c:minorTickMark val="none"/>
        <c:tickLblPos val="nextTo"/>
        <c:crossAx val="206266368"/>
        <c:crosses val="autoZero"/>
        <c:auto val="1"/>
        <c:lblAlgn val="ctr"/>
        <c:lblOffset val="100"/>
        <c:noMultiLvlLbl val="0"/>
      </c:catAx>
      <c:valAx>
        <c:axId val="206266368"/>
        <c:scaling>
          <c:orientation val="minMax"/>
        </c:scaling>
        <c:delete val="0"/>
        <c:axPos val="l"/>
        <c:majorGridlines/>
        <c:numFmt formatCode="&quot;₹&quot;\ #,##0.00" sourceLinked="1"/>
        <c:majorTickMark val="out"/>
        <c:minorTickMark val="none"/>
        <c:tickLblPos val="nextTo"/>
        <c:crossAx val="2062440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Table!PivotTable2</c:name>
    <c:fmtId val="4"/>
  </c:pivotSource>
  <c:chart>
    <c:title>
      <c:tx>
        <c:rich>
          <a:bodyPr/>
          <a:lstStyle/>
          <a:p>
            <a:pPr>
              <a:defRPr/>
            </a:pPr>
            <a:r>
              <a:rPr lang="en-IN" sz="1800" b="1" i="0" u="none" strike="noStrike" baseline="0"/>
              <a:t>Top Products</a:t>
            </a:r>
            <a:endParaRPr lang="en-IN"/>
          </a:p>
        </c:rich>
      </c:tx>
      <c:layout/>
      <c:overlay val="0"/>
    </c:title>
    <c:autoTitleDeleted val="0"/>
    <c:pivotFmts>
      <c:pivotFmt>
        <c:idx val="0"/>
        <c:marker>
          <c:symbol val="none"/>
        </c:marker>
      </c:pivotFmt>
      <c:pivotFmt>
        <c:idx val="1"/>
      </c:pivotFmt>
      <c:pivotFmt>
        <c:idx val="2"/>
        <c:marker>
          <c:symbol val="none"/>
        </c:marker>
      </c:pivotFmt>
      <c:pivotFmt>
        <c:idx val="3"/>
        <c:marker>
          <c:symbol val="none"/>
        </c:marker>
      </c:pivotFmt>
    </c:pivotFmts>
    <c:plotArea>
      <c:layout/>
      <c:barChart>
        <c:barDir val="bar"/>
        <c:grouping val="clustered"/>
        <c:varyColors val="0"/>
        <c:ser>
          <c:idx val="0"/>
          <c:order val="0"/>
          <c:tx>
            <c:strRef>
              <c:f>'Pivot Table'!$B$33</c:f>
              <c:strCache>
                <c:ptCount val="1"/>
                <c:pt idx="0">
                  <c:v>Total</c:v>
                </c:pt>
              </c:strCache>
            </c:strRef>
          </c:tx>
          <c:invertIfNegative val="0"/>
          <c:cat>
            <c:strRef>
              <c:f>'Pivot Table'!$A$34:$A$39</c:f>
              <c:strCache>
                <c:ptCount val="5"/>
                <c:pt idx="0">
                  <c:v>Desk</c:v>
                </c:pt>
                <c:pt idx="1">
                  <c:v>Laptop</c:v>
                </c:pt>
                <c:pt idx="2">
                  <c:v>Monitor</c:v>
                </c:pt>
                <c:pt idx="3">
                  <c:v>Printer</c:v>
                </c:pt>
                <c:pt idx="4">
                  <c:v>Tablet</c:v>
                </c:pt>
              </c:strCache>
            </c:strRef>
          </c:cat>
          <c:val>
            <c:numRef>
              <c:f>'Pivot Table'!$B$34:$B$39</c:f>
              <c:numCache>
                <c:formatCode>"₹"\ #,##0.00</c:formatCode>
                <c:ptCount val="5"/>
                <c:pt idx="0">
                  <c:v>2765060</c:v>
                </c:pt>
                <c:pt idx="1">
                  <c:v>4065840</c:v>
                </c:pt>
                <c:pt idx="2">
                  <c:v>2908430</c:v>
                </c:pt>
                <c:pt idx="3">
                  <c:v>2126380</c:v>
                </c:pt>
                <c:pt idx="4">
                  <c:v>3900840</c:v>
                </c:pt>
              </c:numCache>
            </c:numRef>
          </c:val>
        </c:ser>
        <c:dLbls>
          <c:showLegendKey val="0"/>
          <c:showVal val="0"/>
          <c:showCatName val="0"/>
          <c:showSerName val="0"/>
          <c:showPercent val="0"/>
          <c:showBubbleSize val="0"/>
        </c:dLbls>
        <c:gapWidth val="150"/>
        <c:axId val="206273920"/>
        <c:axId val="206292096"/>
      </c:barChart>
      <c:catAx>
        <c:axId val="206273920"/>
        <c:scaling>
          <c:orientation val="minMax"/>
        </c:scaling>
        <c:delete val="0"/>
        <c:axPos val="l"/>
        <c:majorTickMark val="out"/>
        <c:minorTickMark val="none"/>
        <c:tickLblPos val="nextTo"/>
        <c:crossAx val="206292096"/>
        <c:crosses val="autoZero"/>
        <c:auto val="1"/>
        <c:lblAlgn val="ctr"/>
        <c:lblOffset val="100"/>
        <c:noMultiLvlLbl val="0"/>
      </c:catAx>
      <c:valAx>
        <c:axId val="206292096"/>
        <c:scaling>
          <c:orientation val="minMax"/>
        </c:scaling>
        <c:delete val="0"/>
        <c:axPos val="b"/>
        <c:majorGridlines/>
        <c:numFmt formatCode="&quot;₹&quot;\ #,##0.00" sourceLinked="1"/>
        <c:majorTickMark val="out"/>
        <c:minorTickMark val="none"/>
        <c:tickLblPos val="nextTo"/>
        <c:txPr>
          <a:bodyPr/>
          <a:lstStyle/>
          <a:p>
            <a:pPr>
              <a:defRPr sz="950" baseline="0"/>
            </a:pPr>
            <a:endParaRPr lang="en-US"/>
          </a:p>
        </c:txPr>
        <c:crossAx val="2062739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[Sales_Data_Analysis_Practice.xlsx]Pivot Table!PivotTable5</c:name>
    <c:fmtId val="3"/>
  </c:pivotSource>
  <c:chart>
    <c:title>
      <c:tx>
        <c:rich>
          <a:bodyPr/>
          <a:lstStyle/>
          <a:p>
            <a:pPr>
              <a:defRPr/>
            </a:pPr>
            <a:r>
              <a:rPr lang="en-IN" sz="1800" b="1" i="0" u="none" strike="noStrike" baseline="0"/>
              <a:t>Profit by Category</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'Pivot Table'!$B$60</c:f>
              <c:strCache>
                <c:ptCount val="1"/>
                <c:pt idx="0">
                  <c:v>Total</c:v>
                </c:pt>
              </c:strCache>
            </c:strRef>
          </c:tx>
          <c:cat>
            <c:strRef>
              <c:f>'Pivot Table'!$A$61:$A$64</c:f>
              <c:strCache>
                <c:ptCount val="3"/>
                <c:pt idx="0">
                  <c:v>Accessories</c:v>
                </c:pt>
                <c:pt idx="1">
                  <c:v>Electronics</c:v>
                </c:pt>
                <c:pt idx="2">
                  <c:v>Furniture</c:v>
                </c:pt>
              </c:strCache>
            </c:strRef>
          </c:cat>
          <c:val>
            <c:numRef>
              <c:f>'Pivot Table'!$B$61:$B$64</c:f>
              <c:numCache>
                <c:formatCode>"₹"\ #,##0.00</c:formatCode>
                <c:ptCount val="3"/>
                <c:pt idx="0">
                  <c:v>386070</c:v>
                </c:pt>
                <c:pt idx="1">
                  <c:v>3256100</c:v>
                </c:pt>
                <c:pt idx="2">
                  <c:v>1035400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552450</xdr:colOff>
      <xdr:row>14</xdr:row>
      <xdr:rowOff>190499</xdr:rowOff>
    </xdr:from>
    <xdr:to>
      <xdr:col>7</xdr:col>
      <xdr:colOff>533400</xdr:colOff>
      <xdr:row>28</xdr:row>
      <xdr:rowOff>142874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0</xdr:row>
      <xdr:rowOff>47625</xdr:rowOff>
    </xdr:from>
    <xdr:to>
      <xdr:col>7</xdr:col>
      <xdr:colOff>114300</xdr:colOff>
      <xdr:row>12</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476250</xdr:colOff>
      <xdr:row>30</xdr:row>
      <xdr:rowOff>85725</xdr:rowOff>
    </xdr:from>
    <xdr:to>
      <xdr:col>7</xdr:col>
      <xdr:colOff>285750</xdr:colOff>
      <xdr:row>44</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752475</xdr:colOff>
      <xdr:row>52</xdr:row>
      <xdr:rowOff>28575</xdr:rowOff>
    </xdr:from>
    <xdr:to>
      <xdr:col>7</xdr:col>
      <xdr:colOff>733425</xdr:colOff>
      <xdr:row>66</xdr:row>
      <xdr:rowOff>104775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466725</xdr:colOff>
      <xdr:row>30</xdr:row>
      <xdr:rowOff>161925</xdr:rowOff>
    </xdr:from>
    <xdr:to>
      <xdr:col>9</xdr:col>
      <xdr:colOff>66675</xdr:colOff>
      <xdr:row>44</xdr:row>
      <xdr:rowOff>19050</xdr:rowOff>
    </xdr:to>
    <mc:AlternateContent xmlns:mc="http://schemas.openxmlformats.org/markup-compatibility/2006" xmlns:a14="http://schemas.microsoft.com/office/drawing/2010/main">
      <mc:Choice Requires="a14">
        <xdr:graphicFrame macro="">
          <xdr:nvGraphicFramePr>
            <xdr:cNvPr id="1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267575" y="5876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257175</xdr:colOff>
      <xdr:row>0</xdr:row>
      <xdr:rowOff>85725</xdr:rowOff>
    </xdr:from>
    <xdr:to>
      <xdr:col>8</xdr:col>
      <xdr:colOff>752475</xdr:colOff>
      <xdr:row>13</xdr:row>
      <xdr:rowOff>133350</xdr:rowOff>
    </xdr:to>
    <mc:AlternateContent xmlns:mc="http://schemas.openxmlformats.org/markup-compatibility/2006">
      <mc:Choice xmlns:a14="http://schemas.microsoft.com/office/drawing/2010/main" Requires="a14">
        <xdr:graphicFrame macro="">
          <xdr:nvGraphicFramePr>
            <xdr:cNvPr id="3"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05802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15875</xdr:rowOff>
    </xdr:from>
    <xdr:to>
      <xdr:col>4</xdr:col>
      <xdr:colOff>508000</xdr:colOff>
      <xdr:row>16</xdr:row>
      <xdr:rowOff>107950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2</xdr:row>
      <xdr:rowOff>180975</xdr:rowOff>
    </xdr:from>
    <xdr:to>
      <xdr:col>10</xdr:col>
      <xdr:colOff>295275</xdr:colOff>
      <xdr:row>16</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133350</xdr:rowOff>
    </xdr:from>
    <xdr:to>
      <xdr:col>4</xdr:col>
      <xdr:colOff>495300</xdr:colOff>
      <xdr:row>31</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514350</xdr:colOff>
      <xdr:row>16</xdr:row>
      <xdr:rowOff>133350</xdr:rowOff>
    </xdr:from>
    <xdr:to>
      <xdr:col>10</xdr:col>
      <xdr:colOff>295275</xdr:colOff>
      <xdr:row>31</xdr:row>
      <xdr:rowOff>19050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396875</xdr:colOff>
      <xdr:row>0</xdr:row>
      <xdr:rowOff>63500</xdr:rowOff>
    </xdr:from>
    <xdr:to>
      <xdr:col>16</xdr:col>
      <xdr:colOff>415925</xdr:colOff>
      <xdr:row>13</xdr:row>
      <xdr:rowOff>111125</xdr:rowOff>
    </xdr:to>
    <mc:AlternateContent xmlns:mc="http://schemas.openxmlformats.org/markup-compatibility/2006">
      <mc:Choice xmlns:a14="http://schemas.microsoft.com/office/drawing/2010/main" Requires="a14">
        <xdr:graphicFrame macro="">
          <xdr:nvGraphicFramePr>
            <xdr:cNvPr id="7"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3239750" y="6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47.562489583332" createdVersion="4" refreshedVersion="4" minRefreshableVersion="3" recordCount="300">
  <cacheSource type="worksheet">
    <worksheetSource ref="A1:K301" sheet="Sales Data"/>
  </cacheSource>
  <cacheFields count="11">
    <cacheField name="Order ID" numFmtId="0">
      <sharedItems/>
    </cacheField>
    <cacheField name="Order Date" numFmtId="164">
      <sharedItems containsSemiMixedTypes="0" containsNonDate="0" containsDate="1" containsString="0" minDate="2026-01-01T00:00:00" maxDate="2026-08-01T00:00:00" count="156">
        <d v="2026-06-13T00:00:00"/>
        <d v="2026-01-27T00:00:00"/>
        <d v="2026-03-01T00:00:00"/>
        <d v="2026-04-25T00:00:00"/>
        <d v="2026-04-19T00:00:00"/>
        <d v="2026-01-24T00:00:00"/>
        <d v="2026-07-06T00:00:00"/>
        <d v="2026-06-08T00:00:00"/>
        <d v="2026-01-21T00:00:00"/>
        <d v="2026-04-05T00:00:00"/>
        <d v="2026-06-12T00:00:00"/>
        <d v="2026-03-25T00:00:00"/>
        <d v="2026-01-17T00:00:00"/>
        <d v="2026-03-09T00:00:00"/>
        <d v="2026-04-13T00:00:00"/>
        <d v="2026-07-13T00:00:00"/>
        <d v="2026-01-03T00:00:00"/>
        <d v="2026-02-10T00:00:00"/>
        <d v="2026-07-15T00:00:00"/>
        <d v="2026-04-06T00:00:00"/>
        <d v="2026-07-26T00:00:00"/>
        <d v="2026-07-07T00:00:00"/>
        <d v="2026-06-18T00:00:00"/>
        <d v="2026-05-19T00:00:00"/>
        <d v="2026-05-13T00:00:00"/>
        <d v="2026-05-22T00:00:00"/>
        <d v="2026-01-18T00:00:00"/>
        <d v="2026-01-25T00:00:00"/>
        <d v="2026-06-17T00:00:00"/>
        <d v="2026-02-19T00:00:00"/>
        <d v="2026-01-20T00:00:00"/>
        <d v="2026-07-12T00:00:00"/>
        <d v="2026-02-12T00:00:00"/>
        <d v="2026-07-08T00:00:00"/>
        <d v="2026-05-16T00:00:00"/>
        <d v="2026-06-02T00:00:00"/>
        <d v="2026-02-22T00:00:00"/>
        <d v="2026-03-22T00:00:00"/>
        <d v="2026-05-18T00:00:00"/>
        <d v="2026-02-23T00:00:00"/>
        <d v="2026-01-14T00:00:00"/>
        <d v="2026-01-10T00:00:00"/>
        <d v="2026-04-02T00:00:00"/>
        <d v="2026-07-11T00:00:00"/>
        <d v="2026-01-07T00:00:00"/>
        <d v="2026-07-29T00:00:00"/>
        <d v="2026-06-14T00:00:00"/>
        <d v="2026-01-30T00:00:00"/>
        <d v="2026-05-28T00:00:00"/>
        <d v="2026-04-21T00:00:00"/>
        <d v="2026-03-18T00:00:00"/>
        <d v="2026-02-02T00:00:00"/>
        <d v="2026-05-26T00:00:00"/>
        <d v="2026-05-02T00:00:00"/>
        <d v="2026-03-04T00:00:00"/>
        <d v="2026-06-28T00:00:00"/>
        <d v="2026-07-19T00:00:00"/>
        <d v="2026-05-23T00:00:00"/>
        <d v="2026-06-06T00:00:00"/>
        <d v="2026-05-05T00:00:00"/>
        <d v="2026-03-27T00:00:00"/>
        <d v="2026-02-24T00:00:00"/>
        <d v="2026-04-08T00:00:00"/>
        <d v="2026-04-10T00:00:00"/>
        <d v="2026-05-17T00:00:00"/>
        <d v="2026-04-20T00:00:00"/>
        <d v="2026-04-27T00:00:00"/>
        <d v="2026-06-16T00:00:00"/>
        <d v="2026-06-09T00:00:00"/>
        <d v="2026-06-29T00:00:00"/>
        <d v="2026-03-21T00:00:00"/>
        <d v="2026-07-03T00:00:00"/>
        <d v="2026-07-30T00:00:00"/>
        <d v="2026-02-09T00:00:00"/>
        <d v="2026-07-14T00:00:00"/>
        <d v="2026-03-17T00:00:00"/>
        <d v="2026-01-31T00:00:00"/>
        <d v="2026-05-31T00:00:00"/>
        <d v="2026-04-03T00:00:00"/>
        <d v="2026-01-04T00:00:00"/>
        <d v="2026-03-06T00:00:00"/>
        <d v="2026-06-11T00:00:00"/>
        <d v="2026-03-05T00:00:00"/>
        <d v="2026-01-01T00:00:00"/>
        <d v="2026-03-15T00:00:00"/>
        <d v="2026-07-31T00:00:00"/>
        <d v="2026-02-01T00:00:00"/>
        <d v="2026-01-11T00:00:00"/>
        <d v="2026-05-30T00:00:00"/>
        <d v="2026-03-24T00:00:00"/>
        <d v="2026-07-17T00:00:00"/>
        <d v="2026-02-18T00:00:00"/>
        <d v="2026-01-08T00:00:00"/>
        <d v="2026-04-15T00:00:00"/>
        <d v="2026-06-15T00:00:00"/>
        <d v="2026-05-04T00:00:00"/>
        <d v="2026-05-11T00:00:00"/>
        <d v="2026-07-21T00:00:00"/>
        <d v="2026-05-29T00:00:00"/>
        <d v="2026-03-03T00:00:00"/>
        <d v="2026-07-10T00:00:00"/>
        <d v="2026-05-15T00:00:00"/>
        <d v="2026-05-01T00:00:00"/>
        <d v="2026-06-22T00:00:00"/>
        <d v="2026-02-14T00:00:00"/>
        <d v="2026-04-29T00:00:00"/>
        <d v="2026-06-23T00:00:00"/>
        <d v="2026-01-28T00:00:00"/>
        <d v="2026-02-03T00:00:00"/>
        <d v="2026-04-04T00:00:00"/>
        <d v="2026-02-26T00:00:00"/>
        <d v="2026-02-05T00:00:00"/>
        <d v="2026-01-09T00:00:00"/>
        <d v="2026-06-25T00:00:00"/>
        <d v="2026-07-18T00:00:00"/>
        <d v="2026-07-22T00:00:00"/>
        <d v="2026-04-18T00:00:00"/>
        <d v="2026-06-01T00:00:00"/>
        <d v="2026-07-20T00:00:00"/>
        <d v="2026-06-20T00:00:00"/>
        <d v="2026-03-31T00:00:00"/>
        <d v="2026-02-06T00:00:00"/>
        <d v="2026-03-29T00:00:00"/>
        <d v="2026-06-05T00:00:00"/>
        <d v="2026-04-12T00:00:00"/>
        <d v="2026-01-06T00:00:00"/>
        <d v="2026-04-22T00:00:00"/>
        <d v="2026-05-25T00:00:00"/>
        <d v="2026-05-10T00:00:00"/>
        <d v="2026-07-27T00:00:00"/>
        <d v="2026-04-26T00:00:00"/>
        <d v="2026-03-14T00:00:00"/>
        <d v="2026-04-07T00:00:00"/>
        <d v="2026-06-21T00:00:00"/>
        <d v="2026-07-16T00:00:00"/>
        <d v="2026-04-23T00:00:00"/>
        <d v="2026-01-22T00:00:00"/>
        <d v="2026-01-26T00:00:00"/>
        <d v="2026-02-25T00:00:00"/>
        <d v="2026-01-13T00:00:00"/>
        <d v="2026-05-08T00:00:00"/>
        <d v="2026-05-12T00:00:00"/>
        <d v="2026-07-24T00:00:00"/>
        <d v="2026-06-04T00:00:00"/>
        <d v="2026-04-09T00:00:00"/>
        <d v="2026-04-24T00:00:00"/>
        <d v="2026-03-02T00:00:00"/>
        <d v="2026-04-16T00:00:00"/>
        <d v="2026-04-30T00:00:00"/>
        <d v="2026-02-11T00:00:00"/>
        <d v="2026-03-19T00:00:00"/>
        <d v="2026-01-19T00:00:00"/>
        <d v="2026-03-20T00:00:00"/>
        <d v="2026-06-24T00:00:00"/>
        <d v="2026-07-09T00:00:00"/>
        <d v="2026-05-24T00:00:00"/>
      </sharedItems>
      <fieldGroup base="1">
        <rangePr groupBy="months" startDate="2026-01-01T00:00:00" endDate="2026-08-01T00:00:00"/>
        <groupItems count="14">
          <s v="&lt;01-01-2026"/>
          <s v="Jan"/>
          <s v="Feb"/>
          <s v="Mar"/>
          <s v="Apr"/>
          <s v="May"/>
          <s v="Jun"/>
          <s v="Jul"/>
          <s v="Aug"/>
          <s v="Sep"/>
          <s v="Oct"/>
          <s v="Nov"/>
          <s v="Dec"/>
          <s v="&gt;01-08-2026"/>
        </groupItems>
      </fieldGroup>
    </cacheField>
    <cacheField name="Region" numFmtId="0">
      <sharedItems count="4">
        <s v="North"/>
        <s v="South"/>
        <s v="West"/>
        <s v="East"/>
      </sharedItems>
    </cacheField>
    <cacheField name="Salesperson" numFmtId="0">
      <sharedItems count="6">
        <s v="Ananya"/>
        <s v="Priya"/>
        <s v="Aarav"/>
        <s v="Rahul"/>
        <s v="Vikram"/>
        <s v="Sneha"/>
      </sharedItems>
    </cacheField>
    <cacheField name="Product" numFmtId="0">
      <sharedItems count="10">
        <s v="Monitor"/>
        <s v="Tablet"/>
        <s v="Webcam"/>
        <s v="Headset"/>
        <s v="Office Chair"/>
        <s v="Desk"/>
        <s v="Mouse"/>
        <s v="Keyboard"/>
        <s v="Laptop"/>
        <s v="Printer"/>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8"/>
    </cacheField>
    <cacheField name="Unit Price" numFmtId="165">
      <sharedItems containsSemiMixedTypes="0" containsString="0" containsNumber="1" containsInteger="1" minValue="1080" maxValue="48330"/>
    </cacheField>
    <cacheField name="Sales Amount" numFmtId="165">
      <sharedItems containsSemiMixedTypes="0" containsString="0" containsNumber="1" containsInteger="1" minValue="1090" maxValue="320810" count="290">
        <n v="18870"/>
        <n v="57020"/>
        <n v="28340"/>
        <n v="23900"/>
        <n v="16300"/>
        <n v="23320"/>
        <n v="35020"/>
        <n v="14560"/>
        <n v="2340"/>
        <n v="14480"/>
        <n v="9320"/>
        <n v="191600"/>
        <n v="6780"/>
        <n v="10480"/>
        <n v="15400"/>
        <n v="83760"/>
        <n v="85610"/>
        <n v="94850"/>
        <n v="17450"/>
        <n v="5380"/>
        <n v="2550"/>
        <n v="54680"/>
        <n v="35060"/>
        <n v="45750"/>
        <n v="5900"/>
        <n v="30380"/>
        <n v="4320"/>
        <n v="246840"/>
        <n v="18960"/>
        <n v="122360"/>
        <n v="17650"/>
        <n v="8880"/>
        <n v="29120"/>
        <n v="3540"/>
        <n v="13160"/>
        <n v="208560"/>
        <n v="29390"/>
        <n v="2730"/>
        <n v="70600"/>
        <n v="88540"/>
        <n v="13360"/>
        <n v="17850"/>
        <n v="5550"/>
        <n v="44430"/>
        <n v="28940"/>
        <n v="37740"/>
        <n v="14520"/>
        <n v="134330"/>
        <n v="47160"/>
        <n v="39200"/>
        <n v="10350"/>
        <n v="4960"/>
        <n v="10720"/>
        <n v="15840"/>
        <n v="135380"/>
        <n v="92280"/>
        <n v="8120"/>
        <n v="203070"/>
        <n v="45720"/>
        <n v="75300"/>
        <n v="5450"/>
        <n v="110640"/>
        <n v="144650"/>
        <n v="8680"/>
        <n v="105980"/>
        <n v="26820"/>
        <n v="4780"/>
        <n v="5650"/>
        <n v="31720"/>
        <n v="94080"/>
        <n v="44880"/>
        <n v="2380"/>
        <n v="208950"/>
        <n v="84050"/>
        <n v="5950"/>
        <n v="6500"/>
        <n v="123690"/>
        <n v="90790"/>
        <n v="17420"/>
        <n v="111720"/>
        <n v="25620"/>
        <n v="320810"/>
        <n v="18720"/>
        <n v="22080"/>
        <n v="16800"/>
        <n v="18920"/>
        <n v="9240"/>
        <n v="84000"/>
        <n v="19540"/>
        <n v="2440"/>
        <n v="31780"/>
        <n v="65820"/>
        <n v="31580"/>
        <n v="37680"/>
        <n v="222400"/>
        <n v="96850"/>
        <n v="65220"/>
        <n v="16950"/>
        <n v="102720"/>
        <n v="9920"/>
        <n v="8750"/>
        <n v="165480"/>
        <n v="76900"/>
        <n v="78810"/>
        <n v="153450"/>
        <n v="11300"/>
        <n v="145550"/>
        <n v="22350"/>
        <n v="34060"/>
        <n v="125520"/>
        <n v="128660"/>
        <n v="122800"/>
        <n v="4600"/>
        <n v="27940"/>
        <n v="99600"/>
        <n v="109680"/>
        <n v="7770"/>
        <n v="4560"/>
        <n v="83200"/>
        <n v="4850"/>
        <n v="1320"/>
        <n v="20080"/>
        <n v="105040"/>
        <n v="52170"/>
        <n v="27750"/>
        <n v="12380"/>
        <n v="172140"/>
        <n v="48840"/>
        <n v="18760"/>
        <n v="79080"/>
        <n v="21760"/>
        <n v="63440"/>
        <n v="149000"/>
        <n v="47490"/>
        <n v="194250"/>
        <n v="29820"/>
        <n v="109480"/>
        <n v="16080"/>
        <n v="16710"/>
        <n v="92220"/>
        <n v="213780"/>
        <n v="8520"/>
        <n v="138040"/>
        <n v="13640"/>
        <n v="34170"/>
        <n v="129010"/>
        <n v="114160"/>
        <n v="76830"/>
        <n v="128320"/>
        <n v="8540"/>
        <n v="54100"/>
        <n v="84400"/>
        <n v="6200"/>
        <n v="238000"/>
        <n v="86900"/>
        <n v="169020"/>
        <n v="83950"/>
        <n v="113750"/>
        <n v="111790"/>
        <n v="16380"/>
        <n v="155760"/>
        <n v="43240"/>
        <n v="17360"/>
        <n v="18060"/>
        <n v="13840"/>
        <n v="19140"/>
        <n v="1090"/>
        <n v="73240"/>
        <n v="2390"/>
        <n v="5160"/>
        <n v="6480"/>
        <n v="58760"/>
        <n v="144080"/>
        <n v="138850"/>
        <n v="23960"/>
        <n v="12330"/>
        <n v="138700"/>
        <n v="110440"/>
        <n v="110110"/>
        <n v="98160"/>
        <n v="35500"/>
        <n v="279180"/>
        <n v="72750"/>
        <n v="68440"/>
        <n v="63680"/>
        <n v="14040"/>
        <n v="144990"/>
        <n v="94440"/>
        <n v="14460"/>
        <n v="2590"/>
        <n v="106890"/>
        <n v="93200"/>
        <n v="10820"/>
        <n v="72400"/>
        <n v="48000"/>
        <n v="284690"/>
        <n v="32830"/>
        <n v="11130"/>
        <n v="71080"/>
        <n v="13520"/>
        <n v="6960"/>
        <n v="11750"/>
        <n v="134480"/>
        <n v="28980"/>
        <n v="131360"/>
        <n v="89300"/>
        <n v="125090"/>
        <n v="118440"/>
        <n v="128640"/>
        <n v="88620"/>
        <n v="6760"/>
        <n v="13050"/>
        <n v="36690"/>
        <n v="10860"/>
        <n v="65040"/>
        <n v="60480"/>
        <n v="18580"/>
        <n v="7020"/>
        <n v="306460"/>
        <n v="64440"/>
        <n v="35760"/>
        <n v="38280"/>
        <n v="97020"/>
        <n v="12350"/>
        <n v="104280"/>
        <n v="9750"/>
        <n v="130960"/>
        <n v="16170"/>
        <n v="8610"/>
        <n v="4620"/>
        <n v="256020"/>
        <n v="17610"/>
        <n v="285600"/>
        <n v="9540"/>
        <n v="51000"/>
        <n v="1270"/>
        <n v="91280"/>
        <n v="257760"/>
        <n v="108360"/>
        <n v="148450"/>
        <n v="12050"/>
        <n v="29400"/>
        <n v="23380"/>
        <n v="72180"/>
        <n v="32640"/>
        <n v="4590"/>
        <n v="54330"/>
        <n v="134970"/>
        <n v="113120"/>
        <n v="21900"/>
        <n v="15000"/>
        <n v="15550"/>
        <n v="8220"/>
        <n v="22200"/>
        <n v="155520"/>
        <n v="29860"/>
        <n v="13560"/>
        <n v="81820"/>
        <n v="32270"/>
        <n v="67920"/>
        <n v="133380"/>
        <n v="6740"/>
        <n v="19680"/>
        <n v="14690"/>
        <n v="24540"/>
        <n v="88760"/>
        <n v="286720"/>
        <n v="126140"/>
        <n v="8340"/>
        <n v="9870"/>
        <n v="15900"/>
        <n v="16320"/>
        <n v="90120"/>
        <n v="127600"/>
        <n v="15290"/>
        <n v="33600"/>
        <n v="1220"/>
        <n v="22820"/>
        <n v="38720"/>
        <n v="113360"/>
        <n v="10410"/>
        <n v="112640"/>
        <n v="62280"/>
        <n v="69350"/>
        <n v="10050"/>
        <n v="41490"/>
        <n v="115080"/>
        <n v="33160"/>
        <n v="131840"/>
        <n v="92740"/>
      </sharedItems>
    </cacheField>
    <cacheField name="Cost" numFmtId="165">
      <sharedItems containsSemiMixedTypes="0" containsString="0" containsNumber="1" containsInteger="1" minValue="760" maxValue="249950"/>
    </cacheField>
    <cacheField name="Profit" numFmtId="165">
      <sharedItems containsSemiMixedTypes="0" containsString="0" containsNumber="1" containsInteger="1" minValue="210" maxValue="8853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s v="ORD1001"/>
    <x v="0"/>
    <x v="0"/>
    <x v="0"/>
    <x v="0"/>
    <x v="0"/>
    <n v="1"/>
    <n v="18870"/>
    <x v="0"/>
    <n v="12810"/>
    <n v="6060"/>
  </r>
  <r>
    <s v="ORD1002"/>
    <x v="1"/>
    <x v="1"/>
    <x v="1"/>
    <x v="1"/>
    <x v="0"/>
    <n v="2"/>
    <n v="28510"/>
    <x v="1"/>
    <n v="35790"/>
    <n v="21230"/>
  </r>
  <r>
    <s v="ORD1003"/>
    <x v="2"/>
    <x v="2"/>
    <x v="1"/>
    <x v="1"/>
    <x v="0"/>
    <n v="1"/>
    <n v="28340"/>
    <x v="2"/>
    <n v="22440"/>
    <n v="5900"/>
  </r>
  <r>
    <s v="ORD1004"/>
    <x v="3"/>
    <x v="0"/>
    <x v="0"/>
    <x v="2"/>
    <x v="1"/>
    <n v="5"/>
    <n v="4780"/>
    <x v="3"/>
    <n v="14860"/>
    <n v="9040"/>
  </r>
  <r>
    <s v="ORD1005"/>
    <x v="4"/>
    <x v="3"/>
    <x v="2"/>
    <x v="3"/>
    <x v="1"/>
    <n v="5"/>
    <n v="3260"/>
    <x v="4"/>
    <n v="13850"/>
    <n v="2450"/>
  </r>
  <r>
    <s v="ORD1006"/>
    <x v="5"/>
    <x v="3"/>
    <x v="2"/>
    <x v="4"/>
    <x v="2"/>
    <n v="2"/>
    <n v="11660"/>
    <x v="5"/>
    <n v="16380"/>
    <n v="6940"/>
  </r>
  <r>
    <s v="ORD1007"/>
    <x v="6"/>
    <x v="3"/>
    <x v="0"/>
    <x v="5"/>
    <x v="2"/>
    <n v="2"/>
    <n v="17510"/>
    <x v="6"/>
    <n v="24890"/>
    <n v="10130"/>
  </r>
  <r>
    <s v="ORD1008"/>
    <x v="7"/>
    <x v="0"/>
    <x v="3"/>
    <x v="3"/>
    <x v="1"/>
    <n v="4"/>
    <n v="3640"/>
    <x v="7"/>
    <n v="9190"/>
    <n v="5370"/>
  </r>
  <r>
    <s v="ORD1009"/>
    <x v="8"/>
    <x v="3"/>
    <x v="1"/>
    <x v="6"/>
    <x v="1"/>
    <n v="2"/>
    <n v="1170"/>
    <x v="8"/>
    <n v="1710"/>
    <n v="630"/>
  </r>
  <r>
    <s v="ORD1010"/>
    <x v="9"/>
    <x v="1"/>
    <x v="4"/>
    <x v="3"/>
    <x v="1"/>
    <n v="4"/>
    <n v="3620"/>
    <x v="9"/>
    <n v="11420"/>
    <n v="3060"/>
  </r>
  <r>
    <s v="ORD1011"/>
    <x v="10"/>
    <x v="0"/>
    <x v="0"/>
    <x v="7"/>
    <x v="1"/>
    <n v="4"/>
    <n v="2330"/>
    <x v="10"/>
    <n v="6630"/>
    <n v="2690"/>
  </r>
  <r>
    <s v="ORD1012"/>
    <x v="11"/>
    <x v="2"/>
    <x v="3"/>
    <x v="8"/>
    <x v="0"/>
    <n v="4"/>
    <n v="47900"/>
    <x v="11"/>
    <n v="155810"/>
    <n v="35790"/>
  </r>
  <r>
    <s v="ORD1013"/>
    <x v="12"/>
    <x v="2"/>
    <x v="1"/>
    <x v="6"/>
    <x v="1"/>
    <n v="6"/>
    <n v="1130"/>
    <x v="12"/>
    <n v="5020"/>
    <n v="1760"/>
  </r>
  <r>
    <s v="ORD1014"/>
    <x v="13"/>
    <x v="2"/>
    <x v="4"/>
    <x v="7"/>
    <x v="1"/>
    <n v="4"/>
    <n v="2620"/>
    <x v="13"/>
    <n v="7850"/>
    <n v="2630"/>
  </r>
  <r>
    <s v="ORD1015"/>
    <x v="14"/>
    <x v="2"/>
    <x v="2"/>
    <x v="3"/>
    <x v="1"/>
    <n v="4"/>
    <n v="3850"/>
    <x v="14"/>
    <n v="10060"/>
    <n v="5340"/>
  </r>
  <r>
    <s v="ORD1016"/>
    <x v="15"/>
    <x v="2"/>
    <x v="4"/>
    <x v="8"/>
    <x v="0"/>
    <n v="2"/>
    <n v="41880"/>
    <x v="15"/>
    <n v="55150"/>
    <n v="28610"/>
  </r>
  <r>
    <s v="ORD1017"/>
    <x v="12"/>
    <x v="3"/>
    <x v="4"/>
    <x v="4"/>
    <x v="2"/>
    <n v="7"/>
    <n v="12230"/>
    <x v="16"/>
    <n v="62690"/>
    <n v="22920"/>
  </r>
  <r>
    <s v="ORD1018"/>
    <x v="16"/>
    <x v="3"/>
    <x v="5"/>
    <x v="0"/>
    <x v="0"/>
    <n v="5"/>
    <n v="18970"/>
    <x v="17"/>
    <n v="66550"/>
    <n v="28300"/>
  </r>
  <r>
    <s v="ORD1019"/>
    <x v="17"/>
    <x v="3"/>
    <x v="4"/>
    <x v="5"/>
    <x v="2"/>
    <n v="1"/>
    <n v="17450"/>
    <x v="18"/>
    <n v="14490"/>
    <n v="2960"/>
  </r>
  <r>
    <s v="ORD1020"/>
    <x v="18"/>
    <x v="0"/>
    <x v="1"/>
    <x v="7"/>
    <x v="1"/>
    <n v="2"/>
    <n v="2690"/>
    <x v="19"/>
    <n v="3720"/>
    <n v="1660"/>
  </r>
  <r>
    <s v="ORD1021"/>
    <x v="19"/>
    <x v="1"/>
    <x v="3"/>
    <x v="7"/>
    <x v="1"/>
    <n v="1"/>
    <n v="2550"/>
    <x v="20"/>
    <n v="1880"/>
    <n v="670"/>
  </r>
  <r>
    <s v="ORD1022"/>
    <x v="20"/>
    <x v="1"/>
    <x v="2"/>
    <x v="9"/>
    <x v="0"/>
    <n v="4"/>
    <n v="13670"/>
    <x v="21"/>
    <n v="45420"/>
    <n v="9260"/>
  </r>
  <r>
    <s v="ORD1023"/>
    <x v="21"/>
    <x v="0"/>
    <x v="1"/>
    <x v="5"/>
    <x v="2"/>
    <n v="2"/>
    <n v="17530"/>
    <x v="22"/>
    <n v="26220"/>
    <n v="8840"/>
  </r>
  <r>
    <s v="ORD1024"/>
    <x v="22"/>
    <x v="2"/>
    <x v="1"/>
    <x v="5"/>
    <x v="2"/>
    <n v="3"/>
    <n v="15250"/>
    <x v="23"/>
    <n v="37940"/>
    <n v="7810"/>
  </r>
  <r>
    <s v="ORD1025"/>
    <x v="23"/>
    <x v="3"/>
    <x v="5"/>
    <x v="6"/>
    <x v="1"/>
    <n v="5"/>
    <n v="1180"/>
    <x v="24"/>
    <n v="4610"/>
    <n v="1290"/>
  </r>
  <r>
    <s v="ORD1026"/>
    <x v="24"/>
    <x v="1"/>
    <x v="4"/>
    <x v="5"/>
    <x v="2"/>
    <n v="2"/>
    <n v="15190"/>
    <x v="25"/>
    <n v="19300"/>
    <n v="11080"/>
  </r>
  <r>
    <s v="ORD1027"/>
    <x v="25"/>
    <x v="1"/>
    <x v="1"/>
    <x v="6"/>
    <x v="1"/>
    <n v="4"/>
    <n v="1080"/>
    <x v="26"/>
    <n v="3410"/>
    <n v="910"/>
  </r>
  <r>
    <s v="ORD1028"/>
    <x v="26"/>
    <x v="2"/>
    <x v="1"/>
    <x v="8"/>
    <x v="0"/>
    <n v="6"/>
    <n v="41140"/>
    <x v="27"/>
    <n v="167140"/>
    <n v="79700"/>
  </r>
  <r>
    <s v="ORD1029"/>
    <x v="23"/>
    <x v="2"/>
    <x v="1"/>
    <x v="7"/>
    <x v="1"/>
    <n v="8"/>
    <n v="2370"/>
    <x v="28"/>
    <n v="13910"/>
    <n v="5050"/>
  </r>
  <r>
    <s v="ORD1030"/>
    <x v="27"/>
    <x v="1"/>
    <x v="0"/>
    <x v="0"/>
    <x v="0"/>
    <n v="7"/>
    <n v="17480"/>
    <x v="29"/>
    <n v="87940"/>
    <n v="34420"/>
  </r>
  <r>
    <s v="ORD1031"/>
    <x v="28"/>
    <x v="1"/>
    <x v="1"/>
    <x v="0"/>
    <x v="0"/>
    <n v="1"/>
    <n v="17650"/>
    <x v="30"/>
    <n v="12380"/>
    <n v="5270"/>
  </r>
  <r>
    <s v="ORD1032"/>
    <x v="29"/>
    <x v="2"/>
    <x v="1"/>
    <x v="6"/>
    <x v="1"/>
    <n v="8"/>
    <n v="1110"/>
    <x v="31"/>
    <n v="5900"/>
    <n v="2980"/>
  </r>
  <r>
    <s v="ORD1033"/>
    <x v="30"/>
    <x v="1"/>
    <x v="2"/>
    <x v="5"/>
    <x v="2"/>
    <n v="2"/>
    <n v="14560"/>
    <x v="32"/>
    <n v="25040"/>
    <n v="4080"/>
  </r>
  <r>
    <s v="ORD1034"/>
    <x v="31"/>
    <x v="2"/>
    <x v="2"/>
    <x v="6"/>
    <x v="1"/>
    <n v="3"/>
    <n v="1180"/>
    <x v="33"/>
    <n v="2600"/>
    <n v="940"/>
  </r>
  <r>
    <s v="ORD1035"/>
    <x v="32"/>
    <x v="2"/>
    <x v="3"/>
    <x v="4"/>
    <x v="2"/>
    <n v="1"/>
    <n v="13160"/>
    <x v="34"/>
    <n v="9000"/>
    <n v="4160"/>
  </r>
  <r>
    <s v="ORD1036"/>
    <x v="4"/>
    <x v="1"/>
    <x v="4"/>
    <x v="1"/>
    <x v="0"/>
    <n v="8"/>
    <n v="26070"/>
    <x v="35"/>
    <n v="144160"/>
    <n v="64400"/>
  </r>
  <r>
    <s v="ORD1037"/>
    <x v="33"/>
    <x v="2"/>
    <x v="4"/>
    <x v="1"/>
    <x v="0"/>
    <n v="1"/>
    <n v="29390"/>
    <x v="36"/>
    <n v="18630"/>
    <n v="10760"/>
  </r>
  <r>
    <s v="ORD1038"/>
    <x v="34"/>
    <x v="0"/>
    <x v="2"/>
    <x v="7"/>
    <x v="1"/>
    <n v="1"/>
    <n v="2730"/>
    <x v="37"/>
    <n v="1750"/>
    <n v="980"/>
  </r>
  <r>
    <s v="ORD1039"/>
    <x v="35"/>
    <x v="0"/>
    <x v="4"/>
    <x v="0"/>
    <x v="0"/>
    <n v="4"/>
    <n v="17650"/>
    <x v="38"/>
    <n v="59730"/>
    <n v="10870"/>
  </r>
  <r>
    <s v="ORD1040"/>
    <x v="35"/>
    <x v="3"/>
    <x v="3"/>
    <x v="8"/>
    <x v="0"/>
    <n v="2"/>
    <n v="44270"/>
    <x v="39"/>
    <n v="67300"/>
    <n v="21240"/>
  </r>
  <r>
    <s v="ORD1041"/>
    <x v="36"/>
    <x v="3"/>
    <x v="5"/>
    <x v="3"/>
    <x v="1"/>
    <n v="4"/>
    <n v="3340"/>
    <x v="40"/>
    <n v="8700"/>
    <n v="4660"/>
  </r>
  <r>
    <s v="ORD1042"/>
    <x v="37"/>
    <x v="1"/>
    <x v="2"/>
    <x v="0"/>
    <x v="0"/>
    <n v="1"/>
    <n v="17850"/>
    <x v="41"/>
    <n v="15340"/>
    <n v="2510"/>
  </r>
  <r>
    <s v="ORD1043"/>
    <x v="38"/>
    <x v="1"/>
    <x v="1"/>
    <x v="6"/>
    <x v="1"/>
    <n v="5"/>
    <n v="1110"/>
    <x v="42"/>
    <n v="3910"/>
    <n v="1640"/>
  </r>
  <r>
    <s v="ORD1044"/>
    <x v="9"/>
    <x v="3"/>
    <x v="4"/>
    <x v="9"/>
    <x v="0"/>
    <n v="3"/>
    <n v="14810"/>
    <x v="43"/>
    <n v="33340"/>
    <n v="11090"/>
  </r>
  <r>
    <s v="ORD1045"/>
    <x v="20"/>
    <x v="1"/>
    <x v="1"/>
    <x v="1"/>
    <x v="0"/>
    <n v="1"/>
    <n v="28940"/>
    <x v="44"/>
    <n v="21790"/>
    <n v="7150"/>
  </r>
  <r>
    <s v="ORD1046"/>
    <x v="13"/>
    <x v="3"/>
    <x v="4"/>
    <x v="0"/>
    <x v="0"/>
    <n v="2"/>
    <n v="18870"/>
    <x v="45"/>
    <n v="24810"/>
    <n v="12930"/>
  </r>
  <r>
    <s v="ORD1047"/>
    <x v="39"/>
    <x v="2"/>
    <x v="3"/>
    <x v="3"/>
    <x v="1"/>
    <n v="4"/>
    <n v="3630"/>
    <x v="46"/>
    <n v="11970"/>
    <n v="2550"/>
  </r>
  <r>
    <s v="ORD1048"/>
    <x v="40"/>
    <x v="3"/>
    <x v="1"/>
    <x v="0"/>
    <x v="0"/>
    <n v="7"/>
    <n v="19190"/>
    <x v="47"/>
    <n v="84710"/>
    <n v="49620"/>
  </r>
  <r>
    <s v="ORD1049"/>
    <x v="0"/>
    <x v="2"/>
    <x v="4"/>
    <x v="9"/>
    <x v="0"/>
    <n v="3"/>
    <n v="15720"/>
    <x v="48"/>
    <n v="35480"/>
    <n v="11680"/>
  </r>
  <r>
    <s v="ORD1050"/>
    <x v="16"/>
    <x v="0"/>
    <x v="4"/>
    <x v="0"/>
    <x v="0"/>
    <n v="2"/>
    <n v="19600"/>
    <x v="49"/>
    <n v="30810"/>
    <n v="8390"/>
  </r>
  <r>
    <s v="ORD1051"/>
    <x v="41"/>
    <x v="3"/>
    <x v="2"/>
    <x v="3"/>
    <x v="1"/>
    <n v="3"/>
    <n v="3450"/>
    <x v="50"/>
    <n v="6520"/>
    <n v="3830"/>
  </r>
  <r>
    <s v="ORD1052"/>
    <x v="42"/>
    <x v="2"/>
    <x v="4"/>
    <x v="6"/>
    <x v="1"/>
    <n v="4"/>
    <n v="1240"/>
    <x v="51"/>
    <n v="3500"/>
    <n v="1460"/>
  </r>
  <r>
    <s v="ORD1053"/>
    <x v="43"/>
    <x v="0"/>
    <x v="5"/>
    <x v="7"/>
    <x v="1"/>
    <n v="4"/>
    <n v="2680"/>
    <x v="52"/>
    <n v="9160"/>
    <n v="1560"/>
  </r>
  <r>
    <s v="ORD1054"/>
    <x v="44"/>
    <x v="0"/>
    <x v="3"/>
    <x v="7"/>
    <x v="1"/>
    <n v="6"/>
    <n v="2640"/>
    <x v="53"/>
    <n v="11390"/>
    <n v="4450"/>
  </r>
  <r>
    <s v="ORD1055"/>
    <x v="17"/>
    <x v="0"/>
    <x v="1"/>
    <x v="0"/>
    <x v="0"/>
    <n v="7"/>
    <n v="19340"/>
    <x v="54"/>
    <n v="111830"/>
    <n v="23550"/>
  </r>
  <r>
    <s v="ORD1056"/>
    <x v="45"/>
    <x v="0"/>
    <x v="1"/>
    <x v="5"/>
    <x v="2"/>
    <n v="6"/>
    <n v="15380"/>
    <x v="55"/>
    <n v="74830"/>
    <n v="17450"/>
  </r>
  <r>
    <s v="ORD1057"/>
    <x v="44"/>
    <x v="3"/>
    <x v="3"/>
    <x v="6"/>
    <x v="1"/>
    <n v="7"/>
    <n v="1160"/>
    <x v="56"/>
    <n v="6720"/>
    <n v="1400"/>
  </r>
  <r>
    <s v="ORD1058"/>
    <x v="46"/>
    <x v="3"/>
    <x v="2"/>
    <x v="1"/>
    <x v="0"/>
    <n v="7"/>
    <n v="29010"/>
    <x v="57"/>
    <n v="167020"/>
    <n v="36050"/>
  </r>
  <r>
    <s v="ORD1059"/>
    <x v="47"/>
    <x v="1"/>
    <x v="2"/>
    <x v="9"/>
    <x v="0"/>
    <n v="3"/>
    <n v="15240"/>
    <x v="58"/>
    <n v="39140"/>
    <n v="6580"/>
  </r>
  <r>
    <s v="ORD1060"/>
    <x v="35"/>
    <x v="1"/>
    <x v="5"/>
    <x v="4"/>
    <x v="2"/>
    <n v="6"/>
    <n v="12550"/>
    <x v="59"/>
    <n v="52350"/>
    <n v="22950"/>
  </r>
  <r>
    <s v="ORD1061"/>
    <x v="48"/>
    <x v="0"/>
    <x v="3"/>
    <x v="6"/>
    <x v="1"/>
    <n v="5"/>
    <n v="1090"/>
    <x v="60"/>
    <n v="3950"/>
    <n v="1500"/>
  </r>
  <r>
    <s v="ORD1062"/>
    <x v="49"/>
    <x v="1"/>
    <x v="0"/>
    <x v="0"/>
    <x v="0"/>
    <n v="6"/>
    <n v="18440"/>
    <x v="61"/>
    <n v="86210"/>
    <n v="24430"/>
  </r>
  <r>
    <s v="ORD1063"/>
    <x v="50"/>
    <x v="3"/>
    <x v="4"/>
    <x v="1"/>
    <x v="0"/>
    <n v="5"/>
    <n v="28930"/>
    <x v="62"/>
    <n v="101010"/>
    <n v="43640"/>
  </r>
  <r>
    <s v="ORD1064"/>
    <x v="51"/>
    <x v="0"/>
    <x v="4"/>
    <x v="6"/>
    <x v="1"/>
    <n v="7"/>
    <n v="1240"/>
    <x v="63"/>
    <n v="6170"/>
    <n v="2510"/>
  </r>
  <r>
    <s v="ORD1065"/>
    <x v="52"/>
    <x v="3"/>
    <x v="1"/>
    <x v="9"/>
    <x v="0"/>
    <n v="7"/>
    <n v="15140"/>
    <x v="64"/>
    <n v="65720"/>
    <n v="40260"/>
  </r>
  <r>
    <s v="ORD1066"/>
    <x v="49"/>
    <x v="0"/>
    <x v="4"/>
    <x v="2"/>
    <x v="1"/>
    <n v="6"/>
    <n v="4470"/>
    <x v="65"/>
    <n v="19470"/>
    <n v="7350"/>
  </r>
  <r>
    <s v="ORD1067"/>
    <x v="53"/>
    <x v="3"/>
    <x v="2"/>
    <x v="7"/>
    <x v="1"/>
    <n v="2"/>
    <n v="2390"/>
    <x v="66"/>
    <n v="3730"/>
    <n v="1050"/>
  </r>
  <r>
    <s v="ORD1068"/>
    <x v="45"/>
    <x v="1"/>
    <x v="2"/>
    <x v="6"/>
    <x v="1"/>
    <n v="5"/>
    <n v="1130"/>
    <x v="67"/>
    <n v="3770"/>
    <n v="1880"/>
  </r>
  <r>
    <s v="ORD1069"/>
    <x v="54"/>
    <x v="0"/>
    <x v="0"/>
    <x v="5"/>
    <x v="2"/>
    <n v="2"/>
    <n v="15860"/>
    <x v="68"/>
    <n v="26410"/>
    <n v="5310"/>
  </r>
  <r>
    <s v="ORD1070"/>
    <x v="55"/>
    <x v="1"/>
    <x v="2"/>
    <x v="4"/>
    <x v="2"/>
    <n v="8"/>
    <n v="11760"/>
    <x v="69"/>
    <n v="61660"/>
    <n v="32420"/>
  </r>
  <r>
    <s v="ORD1071"/>
    <x v="56"/>
    <x v="2"/>
    <x v="2"/>
    <x v="4"/>
    <x v="2"/>
    <n v="4"/>
    <n v="11220"/>
    <x v="70"/>
    <n v="38140"/>
    <n v="6740"/>
  </r>
  <r>
    <s v="ORD1072"/>
    <x v="57"/>
    <x v="3"/>
    <x v="5"/>
    <x v="6"/>
    <x v="1"/>
    <n v="2"/>
    <n v="1190"/>
    <x v="71"/>
    <n v="1930"/>
    <n v="450"/>
  </r>
  <r>
    <s v="ORD1073"/>
    <x v="58"/>
    <x v="0"/>
    <x v="0"/>
    <x v="1"/>
    <x v="0"/>
    <n v="7"/>
    <n v="29850"/>
    <x v="72"/>
    <n v="157020"/>
    <n v="51930"/>
  </r>
  <r>
    <s v="ORD1074"/>
    <x v="53"/>
    <x v="3"/>
    <x v="4"/>
    <x v="5"/>
    <x v="2"/>
    <n v="5"/>
    <n v="16810"/>
    <x v="73"/>
    <n v="69050"/>
    <n v="15000"/>
  </r>
  <r>
    <s v="ORD1075"/>
    <x v="59"/>
    <x v="0"/>
    <x v="3"/>
    <x v="6"/>
    <x v="1"/>
    <n v="5"/>
    <n v="1190"/>
    <x v="74"/>
    <n v="4710"/>
    <n v="1240"/>
  </r>
  <r>
    <s v="ORD1076"/>
    <x v="60"/>
    <x v="0"/>
    <x v="0"/>
    <x v="3"/>
    <x v="1"/>
    <n v="2"/>
    <n v="3250"/>
    <x v="75"/>
    <n v="4390"/>
    <n v="2110"/>
  </r>
  <r>
    <s v="ORD1077"/>
    <x v="61"/>
    <x v="2"/>
    <x v="2"/>
    <x v="0"/>
    <x v="0"/>
    <n v="7"/>
    <n v="17670"/>
    <x v="76"/>
    <n v="92800"/>
    <n v="30890"/>
  </r>
  <r>
    <s v="ORD1078"/>
    <x v="36"/>
    <x v="1"/>
    <x v="4"/>
    <x v="4"/>
    <x v="2"/>
    <n v="7"/>
    <n v="12970"/>
    <x v="77"/>
    <n v="69020"/>
    <n v="21770"/>
  </r>
  <r>
    <s v="ORD1079"/>
    <x v="62"/>
    <x v="2"/>
    <x v="5"/>
    <x v="5"/>
    <x v="2"/>
    <n v="1"/>
    <n v="17420"/>
    <x v="78"/>
    <n v="12050"/>
    <n v="5370"/>
  </r>
  <r>
    <s v="ORD1080"/>
    <x v="38"/>
    <x v="2"/>
    <x v="2"/>
    <x v="1"/>
    <x v="0"/>
    <n v="4"/>
    <n v="27930"/>
    <x v="79"/>
    <n v="76580"/>
    <n v="35140"/>
  </r>
  <r>
    <s v="ORD1081"/>
    <x v="63"/>
    <x v="0"/>
    <x v="4"/>
    <x v="3"/>
    <x v="1"/>
    <n v="7"/>
    <n v="3660"/>
    <x v="80"/>
    <n v="21050"/>
    <n v="4570"/>
  </r>
  <r>
    <s v="ORD1082"/>
    <x v="64"/>
    <x v="1"/>
    <x v="0"/>
    <x v="8"/>
    <x v="0"/>
    <n v="7"/>
    <n v="45830"/>
    <x v="81"/>
    <n v="249950"/>
    <n v="70860"/>
  </r>
  <r>
    <s v="ORD1083"/>
    <x v="65"/>
    <x v="3"/>
    <x v="1"/>
    <x v="7"/>
    <x v="1"/>
    <n v="8"/>
    <n v="2340"/>
    <x v="82"/>
    <n v="12780"/>
    <n v="5940"/>
  </r>
  <r>
    <s v="ORD1084"/>
    <x v="66"/>
    <x v="2"/>
    <x v="3"/>
    <x v="3"/>
    <x v="1"/>
    <n v="6"/>
    <n v="3680"/>
    <x v="83"/>
    <n v="15700"/>
    <n v="6380"/>
  </r>
  <r>
    <s v="ORD1085"/>
    <x v="8"/>
    <x v="3"/>
    <x v="1"/>
    <x v="5"/>
    <x v="2"/>
    <n v="1"/>
    <n v="16800"/>
    <x v="84"/>
    <n v="10630"/>
    <n v="6170"/>
  </r>
  <r>
    <s v="ORD1086"/>
    <x v="67"/>
    <x v="0"/>
    <x v="2"/>
    <x v="0"/>
    <x v="0"/>
    <n v="1"/>
    <n v="18920"/>
    <x v="85"/>
    <n v="16040"/>
    <n v="2880"/>
  </r>
  <r>
    <s v="ORD1087"/>
    <x v="68"/>
    <x v="0"/>
    <x v="5"/>
    <x v="7"/>
    <x v="1"/>
    <n v="4"/>
    <n v="2310"/>
    <x v="86"/>
    <n v="7210"/>
    <n v="2030"/>
  </r>
  <r>
    <s v="ORD1088"/>
    <x v="69"/>
    <x v="1"/>
    <x v="1"/>
    <x v="9"/>
    <x v="0"/>
    <n v="6"/>
    <n v="14000"/>
    <x v="87"/>
    <n v="64320"/>
    <n v="19680"/>
  </r>
  <r>
    <s v="ORD1089"/>
    <x v="70"/>
    <x v="2"/>
    <x v="5"/>
    <x v="0"/>
    <x v="0"/>
    <n v="1"/>
    <n v="19540"/>
    <x v="88"/>
    <n v="14820"/>
    <n v="4720"/>
  </r>
  <r>
    <s v="ORD1090"/>
    <x v="71"/>
    <x v="0"/>
    <x v="2"/>
    <x v="6"/>
    <x v="1"/>
    <n v="2"/>
    <n v="1220"/>
    <x v="89"/>
    <n v="2000"/>
    <n v="440"/>
  </r>
  <r>
    <s v="ORD1091"/>
    <x v="55"/>
    <x v="1"/>
    <x v="3"/>
    <x v="9"/>
    <x v="0"/>
    <n v="2"/>
    <n v="15890"/>
    <x v="90"/>
    <n v="24020"/>
    <n v="7760"/>
  </r>
  <r>
    <s v="ORD1092"/>
    <x v="64"/>
    <x v="1"/>
    <x v="5"/>
    <x v="4"/>
    <x v="2"/>
    <n v="6"/>
    <n v="10970"/>
    <x v="91"/>
    <n v="51040"/>
    <n v="14780"/>
  </r>
  <r>
    <s v="ORD1093"/>
    <x v="72"/>
    <x v="2"/>
    <x v="0"/>
    <x v="5"/>
    <x v="2"/>
    <n v="2"/>
    <n v="15790"/>
    <x v="92"/>
    <n v="22320"/>
    <n v="9260"/>
  </r>
  <r>
    <s v="ORD1094"/>
    <x v="73"/>
    <x v="3"/>
    <x v="4"/>
    <x v="4"/>
    <x v="2"/>
    <n v="3"/>
    <n v="12560"/>
    <x v="93"/>
    <n v="32090"/>
    <n v="5590"/>
  </r>
  <r>
    <s v="ORD1095"/>
    <x v="20"/>
    <x v="3"/>
    <x v="3"/>
    <x v="1"/>
    <x v="0"/>
    <n v="8"/>
    <n v="27800"/>
    <x v="94"/>
    <n v="181960"/>
    <n v="40440"/>
  </r>
  <r>
    <s v="ORD1096"/>
    <x v="54"/>
    <x v="2"/>
    <x v="4"/>
    <x v="0"/>
    <x v="0"/>
    <n v="5"/>
    <n v="19370"/>
    <x v="95"/>
    <n v="65720"/>
    <n v="31130"/>
  </r>
  <r>
    <s v="ORD1097"/>
    <x v="58"/>
    <x v="0"/>
    <x v="5"/>
    <x v="4"/>
    <x v="2"/>
    <n v="6"/>
    <n v="10870"/>
    <x v="96"/>
    <n v="53760"/>
    <n v="11460"/>
  </r>
  <r>
    <s v="ORD1098"/>
    <x v="61"/>
    <x v="3"/>
    <x v="4"/>
    <x v="3"/>
    <x v="1"/>
    <n v="5"/>
    <n v="3390"/>
    <x v="97"/>
    <n v="14090"/>
    <n v="2860"/>
  </r>
  <r>
    <s v="ORD1099"/>
    <x v="16"/>
    <x v="2"/>
    <x v="4"/>
    <x v="1"/>
    <x v="0"/>
    <n v="4"/>
    <n v="25680"/>
    <x v="98"/>
    <n v="81440"/>
    <n v="21280"/>
  </r>
  <r>
    <s v="ORD1100"/>
    <x v="74"/>
    <x v="1"/>
    <x v="2"/>
    <x v="6"/>
    <x v="1"/>
    <n v="8"/>
    <n v="1240"/>
    <x v="99"/>
    <n v="7320"/>
    <n v="2600"/>
  </r>
  <r>
    <s v="ORD1101"/>
    <x v="75"/>
    <x v="3"/>
    <x v="5"/>
    <x v="6"/>
    <x v="1"/>
    <n v="7"/>
    <n v="1250"/>
    <x v="100"/>
    <n v="6070"/>
    <n v="2680"/>
  </r>
  <r>
    <s v="ORD1102"/>
    <x v="25"/>
    <x v="3"/>
    <x v="3"/>
    <x v="1"/>
    <x v="0"/>
    <n v="6"/>
    <n v="27580"/>
    <x v="101"/>
    <n v="132220"/>
    <n v="33260"/>
  </r>
  <r>
    <s v="ORD1103"/>
    <x v="69"/>
    <x v="0"/>
    <x v="3"/>
    <x v="5"/>
    <x v="2"/>
    <n v="5"/>
    <n v="15380"/>
    <x v="102"/>
    <n v="51930"/>
    <n v="24970"/>
  </r>
  <r>
    <s v="ORD1104"/>
    <x v="76"/>
    <x v="3"/>
    <x v="0"/>
    <x v="1"/>
    <x v="0"/>
    <n v="3"/>
    <n v="26270"/>
    <x v="103"/>
    <n v="62830"/>
    <n v="15980"/>
  </r>
  <r>
    <s v="ORD1105"/>
    <x v="77"/>
    <x v="3"/>
    <x v="1"/>
    <x v="1"/>
    <x v="0"/>
    <n v="5"/>
    <n v="30690"/>
    <x v="104"/>
    <n v="125800"/>
    <n v="27650"/>
  </r>
  <r>
    <s v="ORD1106"/>
    <x v="78"/>
    <x v="3"/>
    <x v="2"/>
    <x v="7"/>
    <x v="1"/>
    <n v="5"/>
    <n v="2260"/>
    <x v="105"/>
    <n v="8450"/>
    <n v="2850"/>
  </r>
  <r>
    <s v="ORD1107"/>
    <x v="40"/>
    <x v="2"/>
    <x v="2"/>
    <x v="1"/>
    <x v="0"/>
    <n v="5"/>
    <n v="29110"/>
    <x v="106"/>
    <n v="94650"/>
    <n v="50900"/>
  </r>
  <r>
    <s v="ORD1108"/>
    <x v="79"/>
    <x v="0"/>
    <x v="2"/>
    <x v="2"/>
    <x v="1"/>
    <n v="5"/>
    <n v="4470"/>
    <x v="107"/>
    <n v="16220"/>
    <n v="6130"/>
  </r>
  <r>
    <s v="ORD1109"/>
    <x v="80"/>
    <x v="1"/>
    <x v="4"/>
    <x v="5"/>
    <x v="2"/>
    <n v="2"/>
    <n v="17030"/>
    <x v="108"/>
    <n v="24390"/>
    <n v="9670"/>
  </r>
  <r>
    <s v="ORD1110"/>
    <x v="81"/>
    <x v="3"/>
    <x v="2"/>
    <x v="8"/>
    <x v="0"/>
    <n v="3"/>
    <n v="41840"/>
    <x v="109"/>
    <n v="94780"/>
    <n v="30740"/>
  </r>
  <r>
    <s v="ORD1111"/>
    <x v="82"/>
    <x v="0"/>
    <x v="4"/>
    <x v="0"/>
    <x v="0"/>
    <n v="7"/>
    <n v="18380"/>
    <x v="110"/>
    <n v="104190"/>
    <n v="24470"/>
  </r>
  <r>
    <s v="ORD1112"/>
    <x v="62"/>
    <x v="2"/>
    <x v="3"/>
    <x v="5"/>
    <x v="2"/>
    <n v="8"/>
    <n v="15350"/>
    <x v="111"/>
    <n v="93480"/>
    <n v="29320"/>
  </r>
  <r>
    <s v="ORD1113"/>
    <x v="52"/>
    <x v="0"/>
    <x v="0"/>
    <x v="2"/>
    <x v="1"/>
    <n v="1"/>
    <n v="4600"/>
    <x v="112"/>
    <n v="3670"/>
    <n v="930"/>
  </r>
  <r>
    <s v="ORD1114"/>
    <x v="61"/>
    <x v="1"/>
    <x v="1"/>
    <x v="9"/>
    <x v="0"/>
    <n v="2"/>
    <n v="13970"/>
    <x v="113"/>
    <n v="18490"/>
    <n v="9450"/>
  </r>
  <r>
    <s v="ORD1115"/>
    <x v="83"/>
    <x v="1"/>
    <x v="1"/>
    <x v="4"/>
    <x v="2"/>
    <n v="8"/>
    <n v="12450"/>
    <x v="114"/>
    <n v="72980"/>
    <n v="26620"/>
  </r>
  <r>
    <s v="ORD1116"/>
    <x v="84"/>
    <x v="3"/>
    <x v="0"/>
    <x v="9"/>
    <x v="0"/>
    <n v="8"/>
    <n v="13710"/>
    <x v="115"/>
    <n v="74150"/>
    <n v="35530"/>
  </r>
  <r>
    <s v="ORD1117"/>
    <x v="77"/>
    <x v="0"/>
    <x v="3"/>
    <x v="6"/>
    <x v="1"/>
    <n v="7"/>
    <n v="1110"/>
    <x v="116"/>
    <n v="5240"/>
    <n v="2530"/>
  </r>
  <r>
    <s v="ORD1118"/>
    <x v="85"/>
    <x v="3"/>
    <x v="5"/>
    <x v="7"/>
    <x v="1"/>
    <n v="2"/>
    <n v="2280"/>
    <x v="117"/>
    <n v="3690"/>
    <n v="870"/>
  </r>
  <r>
    <s v="ORD1119"/>
    <x v="86"/>
    <x v="2"/>
    <x v="5"/>
    <x v="5"/>
    <x v="2"/>
    <n v="5"/>
    <n v="16640"/>
    <x v="118"/>
    <n v="70410"/>
    <n v="12790"/>
  </r>
  <r>
    <s v="ORD1120"/>
    <x v="8"/>
    <x v="3"/>
    <x v="2"/>
    <x v="2"/>
    <x v="1"/>
    <n v="1"/>
    <n v="4850"/>
    <x v="119"/>
    <n v="3860"/>
    <n v="990"/>
  </r>
  <r>
    <s v="ORD1121"/>
    <x v="5"/>
    <x v="3"/>
    <x v="4"/>
    <x v="6"/>
    <x v="1"/>
    <n v="1"/>
    <n v="1320"/>
    <x v="120"/>
    <n v="1030"/>
    <n v="290"/>
  </r>
  <r>
    <s v="ORD1122"/>
    <x v="87"/>
    <x v="3"/>
    <x v="1"/>
    <x v="7"/>
    <x v="1"/>
    <n v="8"/>
    <n v="2510"/>
    <x v="121"/>
    <n v="14580"/>
    <n v="5500"/>
  </r>
  <r>
    <s v="ORD1123"/>
    <x v="88"/>
    <x v="2"/>
    <x v="3"/>
    <x v="4"/>
    <x v="2"/>
    <n v="8"/>
    <n v="13130"/>
    <x v="122"/>
    <n v="76970"/>
    <n v="28070"/>
  </r>
  <r>
    <s v="ORD1124"/>
    <x v="89"/>
    <x v="3"/>
    <x v="0"/>
    <x v="0"/>
    <x v="0"/>
    <n v="3"/>
    <n v="17390"/>
    <x v="123"/>
    <n v="41030"/>
    <n v="11140"/>
  </r>
  <r>
    <s v="ORD1125"/>
    <x v="14"/>
    <x v="3"/>
    <x v="2"/>
    <x v="1"/>
    <x v="0"/>
    <n v="1"/>
    <n v="27750"/>
    <x v="124"/>
    <n v="19300"/>
    <n v="8450"/>
  </r>
  <r>
    <s v="ORD1126"/>
    <x v="90"/>
    <x v="2"/>
    <x v="2"/>
    <x v="4"/>
    <x v="2"/>
    <n v="1"/>
    <n v="12380"/>
    <x v="125"/>
    <n v="9290"/>
    <n v="3090"/>
  </r>
  <r>
    <s v="ORD1127"/>
    <x v="91"/>
    <x v="2"/>
    <x v="2"/>
    <x v="1"/>
    <x v="0"/>
    <n v="6"/>
    <n v="28690"/>
    <x v="126"/>
    <n v="127320"/>
    <n v="44820"/>
  </r>
  <r>
    <s v="ORD1128"/>
    <x v="36"/>
    <x v="2"/>
    <x v="2"/>
    <x v="9"/>
    <x v="0"/>
    <n v="3"/>
    <n v="16280"/>
    <x v="127"/>
    <n v="35420"/>
    <n v="13420"/>
  </r>
  <r>
    <s v="ORD1129"/>
    <x v="92"/>
    <x v="1"/>
    <x v="4"/>
    <x v="2"/>
    <x v="1"/>
    <n v="4"/>
    <n v="4690"/>
    <x v="128"/>
    <n v="13030"/>
    <n v="5730"/>
  </r>
  <r>
    <s v="ORD1130"/>
    <x v="93"/>
    <x v="2"/>
    <x v="2"/>
    <x v="0"/>
    <x v="0"/>
    <n v="4"/>
    <n v="19770"/>
    <x v="129"/>
    <n v="66360"/>
    <n v="12720"/>
  </r>
  <r>
    <s v="ORD1131"/>
    <x v="94"/>
    <x v="3"/>
    <x v="5"/>
    <x v="7"/>
    <x v="1"/>
    <n v="8"/>
    <n v="2720"/>
    <x v="130"/>
    <n v="15020"/>
    <n v="6740"/>
  </r>
  <r>
    <s v="ORD1132"/>
    <x v="95"/>
    <x v="0"/>
    <x v="4"/>
    <x v="5"/>
    <x v="2"/>
    <n v="4"/>
    <n v="15860"/>
    <x v="131"/>
    <n v="41540"/>
    <n v="21900"/>
  </r>
  <r>
    <s v="ORD1133"/>
    <x v="96"/>
    <x v="2"/>
    <x v="3"/>
    <x v="7"/>
    <x v="1"/>
    <n v="2"/>
    <n v="2390"/>
    <x v="66"/>
    <n v="3870"/>
    <n v="910"/>
  </r>
  <r>
    <s v="ORD1134"/>
    <x v="97"/>
    <x v="3"/>
    <x v="4"/>
    <x v="1"/>
    <x v="0"/>
    <n v="5"/>
    <n v="29800"/>
    <x v="132"/>
    <n v="102490"/>
    <n v="46510"/>
  </r>
  <r>
    <s v="ORD1135"/>
    <x v="98"/>
    <x v="3"/>
    <x v="4"/>
    <x v="5"/>
    <x v="2"/>
    <n v="3"/>
    <n v="15830"/>
    <x v="133"/>
    <n v="34960"/>
    <n v="12530"/>
  </r>
  <r>
    <s v="ORD1136"/>
    <x v="18"/>
    <x v="0"/>
    <x v="0"/>
    <x v="1"/>
    <x v="0"/>
    <n v="7"/>
    <n v="27750"/>
    <x v="134"/>
    <n v="135440"/>
    <n v="58810"/>
  </r>
  <r>
    <s v="ORD1137"/>
    <x v="99"/>
    <x v="1"/>
    <x v="3"/>
    <x v="2"/>
    <x v="1"/>
    <n v="7"/>
    <n v="4260"/>
    <x v="135"/>
    <n v="24040"/>
    <n v="5780"/>
  </r>
  <r>
    <s v="ORD1138"/>
    <x v="100"/>
    <x v="0"/>
    <x v="5"/>
    <x v="5"/>
    <x v="2"/>
    <n v="7"/>
    <n v="15640"/>
    <x v="136"/>
    <n v="85320"/>
    <n v="24160"/>
  </r>
  <r>
    <s v="ORD1139"/>
    <x v="41"/>
    <x v="2"/>
    <x v="2"/>
    <x v="7"/>
    <x v="1"/>
    <n v="6"/>
    <n v="2680"/>
    <x v="137"/>
    <n v="13340"/>
    <n v="2740"/>
  </r>
  <r>
    <s v="ORD1140"/>
    <x v="101"/>
    <x v="0"/>
    <x v="2"/>
    <x v="5"/>
    <x v="2"/>
    <n v="1"/>
    <n v="16710"/>
    <x v="138"/>
    <n v="12000"/>
    <n v="4710"/>
  </r>
  <r>
    <s v="ORD1141"/>
    <x v="102"/>
    <x v="1"/>
    <x v="3"/>
    <x v="9"/>
    <x v="0"/>
    <n v="6"/>
    <n v="15370"/>
    <x v="139"/>
    <n v="65970"/>
    <n v="26250"/>
  </r>
  <r>
    <s v="ORD1142"/>
    <x v="103"/>
    <x v="2"/>
    <x v="4"/>
    <x v="1"/>
    <x v="0"/>
    <n v="7"/>
    <n v="30540"/>
    <x v="140"/>
    <n v="164700"/>
    <n v="49080"/>
  </r>
  <r>
    <s v="ORD1143"/>
    <x v="41"/>
    <x v="3"/>
    <x v="1"/>
    <x v="2"/>
    <x v="1"/>
    <n v="2"/>
    <n v="4260"/>
    <x v="141"/>
    <n v="6680"/>
    <n v="1840"/>
  </r>
  <r>
    <s v="ORD1144"/>
    <x v="43"/>
    <x v="1"/>
    <x v="5"/>
    <x v="0"/>
    <x v="0"/>
    <n v="7"/>
    <n v="19720"/>
    <x v="142"/>
    <n v="110780"/>
    <n v="27260"/>
  </r>
  <r>
    <s v="ORD1145"/>
    <x v="32"/>
    <x v="3"/>
    <x v="3"/>
    <x v="9"/>
    <x v="0"/>
    <n v="1"/>
    <n v="13640"/>
    <x v="143"/>
    <n v="11060"/>
    <n v="2580"/>
  </r>
  <r>
    <s v="ORD1146"/>
    <x v="19"/>
    <x v="0"/>
    <x v="1"/>
    <x v="4"/>
    <x v="2"/>
    <n v="3"/>
    <n v="11390"/>
    <x v="144"/>
    <n v="24560"/>
    <n v="9610"/>
  </r>
  <r>
    <s v="ORD1147"/>
    <x v="104"/>
    <x v="0"/>
    <x v="1"/>
    <x v="0"/>
    <x v="0"/>
    <n v="7"/>
    <n v="18430"/>
    <x v="145"/>
    <n v="87440"/>
    <n v="41570"/>
  </r>
  <r>
    <s v="ORD1148"/>
    <x v="105"/>
    <x v="2"/>
    <x v="3"/>
    <x v="9"/>
    <x v="0"/>
    <n v="8"/>
    <n v="14270"/>
    <x v="146"/>
    <n v="71040"/>
    <n v="43120"/>
  </r>
  <r>
    <s v="ORD1149"/>
    <x v="106"/>
    <x v="3"/>
    <x v="0"/>
    <x v="1"/>
    <x v="0"/>
    <n v="3"/>
    <n v="25610"/>
    <x v="147"/>
    <n v="65060"/>
    <n v="11770"/>
  </r>
  <r>
    <s v="ORD1150"/>
    <x v="4"/>
    <x v="2"/>
    <x v="5"/>
    <x v="9"/>
    <x v="0"/>
    <n v="8"/>
    <n v="16040"/>
    <x v="148"/>
    <n v="85690"/>
    <n v="42630"/>
  </r>
  <r>
    <s v="ORD1151"/>
    <x v="107"/>
    <x v="3"/>
    <x v="2"/>
    <x v="6"/>
    <x v="1"/>
    <n v="7"/>
    <n v="1220"/>
    <x v="149"/>
    <n v="6470"/>
    <n v="2070"/>
  </r>
  <r>
    <s v="ORD1152"/>
    <x v="22"/>
    <x v="1"/>
    <x v="4"/>
    <x v="4"/>
    <x v="2"/>
    <n v="5"/>
    <n v="10820"/>
    <x v="150"/>
    <n v="44770"/>
    <n v="9330"/>
  </r>
  <r>
    <s v="ORD1153"/>
    <x v="100"/>
    <x v="3"/>
    <x v="1"/>
    <x v="5"/>
    <x v="2"/>
    <n v="5"/>
    <n v="16880"/>
    <x v="151"/>
    <n v="56990"/>
    <n v="27410"/>
  </r>
  <r>
    <s v="ORD1154"/>
    <x v="10"/>
    <x v="0"/>
    <x v="0"/>
    <x v="6"/>
    <x v="1"/>
    <n v="5"/>
    <n v="1240"/>
    <x v="152"/>
    <n v="4920"/>
    <n v="1280"/>
  </r>
  <r>
    <s v="ORD1155"/>
    <x v="27"/>
    <x v="3"/>
    <x v="0"/>
    <x v="8"/>
    <x v="0"/>
    <n v="5"/>
    <n v="47600"/>
    <x v="153"/>
    <n v="149470"/>
    <n v="88530"/>
  </r>
  <r>
    <s v="ORD1156"/>
    <x v="108"/>
    <x v="0"/>
    <x v="1"/>
    <x v="0"/>
    <x v="0"/>
    <n v="5"/>
    <n v="17380"/>
    <x v="154"/>
    <n v="62540"/>
    <n v="24360"/>
  </r>
  <r>
    <s v="ORD1157"/>
    <x v="97"/>
    <x v="0"/>
    <x v="3"/>
    <x v="1"/>
    <x v="0"/>
    <n v="6"/>
    <n v="28170"/>
    <x v="155"/>
    <n v="141850"/>
    <n v="27170"/>
  </r>
  <r>
    <s v="ORD1158"/>
    <x v="85"/>
    <x v="1"/>
    <x v="5"/>
    <x v="5"/>
    <x v="2"/>
    <n v="5"/>
    <n v="16790"/>
    <x v="156"/>
    <n v="58870"/>
    <n v="25080"/>
  </r>
  <r>
    <s v="ORD1159"/>
    <x v="30"/>
    <x v="2"/>
    <x v="4"/>
    <x v="7"/>
    <x v="1"/>
    <n v="4"/>
    <n v="2680"/>
    <x v="52"/>
    <n v="8510"/>
    <n v="2210"/>
  </r>
  <r>
    <s v="ORD1160"/>
    <x v="109"/>
    <x v="2"/>
    <x v="3"/>
    <x v="0"/>
    <x v="0"/>
    <n v="7"/>
    <n v="16250"/>
    <x v="157"/>
    <n v="85170"/>
    <n v="28580"/>
  </r>
  <r>
    <s v="ORD1161"/>
    <x v="103"/>
    <x v="1"/>
    <x v="0"/>
    <x v="9"/>
    <x v="0"/>
    <n v="7"/>
    <n v="15970"/>
    <x v="158"/>
    <n v="94540"/>
    <n v="17250"/>
  </r>
  <r>
    <s v="ORD1162"/>
    <x v="2"/>
    <x v="3"/>
    <x v="4"/>
    <x v="5"/>
    <x v="2"/>
    <n v="1"/>
    <n v="16380"/>
    <x v="159"/>
    <n v="13860"/>
    <n v="2520"/>
  </r>
  <r>
    <s v="ORD1163"/>
    <x v="110"/>
    <x v="2"/>
    <x v="2"/>
    <x v="0"/>
    <x v="0"/>
    <n v="8"/>
    <n v="19470"/>
    <x v="160"/>
    <n v="107870"/>
    <n v="47890"/>
  </r>
  <r>
    <s v="ORD1164"/>
    <x v="111"/>
    <x v="1"/>
    <x v="1"/>
    <x v="8"/>
    <x v="0"/>
    <n v="1"/>
    <n v="43240"/>
    <x v="161"/>
    <n v="31920"/>
    <n v="11320"/>
  </r>
  <r>
    <s v="ORD1165"/>
    <x v="38"/>
    <x v="2"/>
    <x v="4"/>
    <x v="7"/>
    <x v="1"/>
    <n v="7"/>
    <n v="2480"/>
    <x v="162"/>
    <n v="13560"/>
    <n v="3800"/>
  </r>
  <r>
    <s v="ORD1166"/>
    <x v="100"/>
    <x v="2"/>
    <x v="3"/>
    <x v="7"/>
    <x v="1"/>
    <n v="7"/>
    <n v="2580"/>
    <x v="163"/>
    <n v="14810"/>
    <n v="3250"/>
  </r>
  <r>
    <s v="ORD1167"/>
    <x v="112"/>
    <x v="3"/>
    <x v="2"/>
    <x v="3"/>
    <x v="1"/>
    <n v="4"/>
    <n v="3460"/>
    <x v="164"/>
    <n v="11740"/>
    <n v="2100"/>
  </r>
  <r>
    <s v="ORD1168"/>
    <x v="113"/>
    <x v="1"/>
    <x v="5"/>
    <x v="3"/>
    <x v="1"/>
    <n v="6"/>
    <n v="3190"/>
    <x v="165"/>
    <n v="13130"/>
    <n v="6010"/>
  </r>
  <r>
    <s v="ORD1169"/>
    <x v="5"/>
    <x v="0"/>
    <x v="4"/>
    <x v="6"/>
    <x v="1"/>
    <n v="1"/>
    <n v="1090"/>
    <x v="166"/>
    <n v="760"/>
    <n v="330"/>
  </r>
  <r>
    <s v="ORD1170"/>
    <x v="36"/>
    <x v="0"/>
    <x v="3"/>
    <x v="0"/>
    <x v="0"/>
    <n v="4"/>
    <n v="18310"/>
    <x v="167"/>
    <n v="59700"/>
    <n v="13540"/>
  </r>
  <r>
    <s v="ORD1171"/>
    <x v="114"/>
    <x v="0"/>
    <x v="4"/>
    <x v="7"/>
    <x v="1"/>
    <n v="1"/>
    <n v="2390"/>
    <x v="168"/>
    <n v="2050"/>
    <n v="340"/>
  </r>
  <r>
    <s v="ORD1172"/>
    <x v="80"/>
    <x v="1"/>
    <x v="3"/>
    <x v="7"/>
    <x v="1"/>
    <n v="2"/>
    <n v="2580"/>
    <x v="169"/>
    <n v="3230"/>
    <n v="1930"/>
  </r>
  <r>
    <s v="ORD1173"/>
    <x v="115"/>
    <x v="0"/>
    <x v="0"/>
    <x v="6"/>
    <x v="1"/>
    <n v="6"/>
    <n v="1080"/>
    <x v="170"/>
    <n v="4430"/>
    <n v="2050"/>
  </r>
  <r>
    <s v="ORD1174"/>
    <x v="116"/>
    <x v="3"/>
    <x v="4"/>
    <x v="1"/>
    <x v="0"/>
    <n v="2"/>
    <n v="29380"/>
    <x v="171"/>
    <n v="43150"/>
    <n v="15610"/>
  </r>
  <r>
    <s v="ORD1175"/>
    <x v="117"/>
    <x v="1"/>
    <x v="0"/>
    <x v="0"/>
    <x v="0"/>
    <n v="8"/>
    <n v="18010"/>
    <x v="172"/>
    <n v="122020"/>
    <n v="22060"/>
  </r>
  <r>
    <s v="ORD1176"/>
    <x v="118"/>
    <x v="1"/>
    <x v="5"/>
    <x v="1"/>
    <x v="0"/>
    <n v="5"/>
    <n v="27770"/>
    <x v="173"/>
    <n v="118210"/>
    <n v="20640"/>
  </r>
  <r>
    <s v="ORD1177"/>
    <x v="14"/>
    <x v="1"/>
    <x v="2"/>
    <x v="4"/>
    <x v="2"/>
    <n v="2"/>
    <n v="11980"/>
    <x v="174"/>
    <n v="20090"/>
    <n v="3870"/>
  </r>
  <r>
    <s v="ORD1178"/>
    <x v="89"/>
    <x v="3"/>
    <x v="5"/>
    <x v="2"/>
    <x v="1"/>
    <n v="3"/>
    <n v="4110"/>
    <x v="175"/>
    <n v="8460"/>
    <n v="3870"/>
  </r>
  <r>
    <s v="ORD1179"/>
    <x v="35"/>
    <x v="1"/>
    <x v="0"/>
    <x v="1"/>
    <x v="0"/>
    <n v="5"/>
    <n v="27740"/>
    <x v="176"/>
    <n v="106150"/>
    <n v="32550"/>
  </r>
  <r>
    <s v="ORD1180"/>
    <x v="47"/>
    <x v="2"/>
    <x v="3"/>
    <x v="1"/>
    <x v="0"/>
    <n v="4"/>
    <n v="27610"/>
    <x v="177"/>
    <n v="92010"/>
    <n v="18430"/>
  </r>
  <r>
    <s v="ORD1181"/>
    <x v="85"/>
    <x v="2"/>
    <x v="3"/>
    <x v="5"/>
    <x v="2"/>
    <n v="7"/>
    <n v="15730"/>
    <x v="178"/>
    <n v="70780"/>
    <n v="39330"/>
  </r>
  <r>
    <s v="ORD1182"/>
    <x v="119"/>
    <x v="2"/>
    <x v="2"/>
    <x v="9"/>
    <x v="0"/>
    <n v="6"/>
    <n v="16360"/>
    <x v="179"/>
    <n v="77040"/>
    <n v="21120"/>
  </r>
  <r>
    <s v="ORD1183"/>
    <x v="5"/>
    <x v="3"/>
    <x v="1"/>
    <x v="0"/>
    <x v="0"/>
    <n v="2"/>
    <n v="17750"/>
    <x v="180"/>
    <n v="28350"/>
    <n v="7150"/>
  </r>
  <r>
    <s v="ORD1184"/>
    <x v="57"/>
    <x v="2"/>
    <x v="0"/>
    <x v="8"/>
    <x v="0"/>
    <n v="6"/>
    <n v="46530"/>
    <x v="181"/>
    <n v="200620"/>
    <n v="78560"/>
  </r>
  <r>
    <s v="ORD1185"/>
    <x v="40"/>
    <x v="0"/>
    <x v="1"/>
    <x v="9"/>
    <x v="0"/>
    <n v="5"/>
    <n v="14550"/>
    <x v="182"/>
    <n v="55200"/>
    <n v="17550"/>
  </r>
  <r>
    <s v="ORD1186"/>
    <x v="22"/>
    <x v="3"/>
    <x v="2"/>
    <x v="5"/>
    <x v="2"/>
    <n v="4"/>
    <n v="17110"/>
    <x v="183"/>
    <n v="48180"/>
    <n v="20260"/>
  </r>
  <r>
    <s v="ORD1187"/>
    <x v="18"/>
    <x v="1"/>
    <x v="4"/>
    <x v="9"/>
    <x v="0"/>
    <n v="4"/>
    <n v="15920"/>
    <x v="184"/>
    <n v="52400"/>
    <n v="11280"/>
  </r>
  <r>
    <s v="ORD1188"/>
    <x v="22"/>
    <x v="3"/>
    <x v="3"/>
    <x v="9"/>
    <x v="0"/>
    <n v="1"/>
    <n v="14040"/>
    <x v="185"/>
    <n v="11070"/>
    <n v="2970"/>
  </r>
  <r>
    <s v="ORD1189"/>
    <x v="120"/>
    <x v="2"/>
    <x v="2"/>
    <x v="8"/>
    <x v="0"/>
    <n v="3"/>
    <n v="48330"/>
    <x v="186"/>
    <n v="109600"/>
    <n v="35390"/>
  </r>
  <r>
    <s v="ORD1190"/>
    <x v="121"/>
    <x v="2"/>
    <x v="5"/>
    <x v="8"/>
    <x v="0"/>
    <n v="2"/>
    <n v="47220"/>
    <x v="187"/>
    <n v="63430"/>
    <n v="31010"/>
  </r>
  <r>
    <s v="ORD1191"/>
    <x v="122"/>
    <x v="1"/>
    <x v="2"/>
    <x v="7"/>
    <x v="1"/>
    <n v="6"/>
    <n v="2410"/>
    <x v="188"/>
    <n v="10090"/>
    <n v="4370"/>
  </r>
  <r>
    <s v="ORD1192"/>
    <x v="73"/>
    <x v="2"/>
    <x v="5"/>
    <x v="7"/>
    <x v="1"/>
    <n v="1"/>
    <n v="2590"/>
    <x v="189"/>
    <n v="1770"/>
    <n v="820"/>
  </r>
  <r>
    <s v="ORD1193"/>
    <x v="123"/>
    <x v="1"/>
    <x v="3"/>
    <x v="5"/>
    <x v="2"/>
    <n v="7"/>
    <n v="15270"/>
    <x v="190"/>
    <n v="85640"/>
    <n v="21250"/>
  </r>
  <r>
    <s v="ORD1194"/>
    <x v="49"/>
    <x v="3"/>
    <x v="2"/>
    <x v="0"/>
    <x v="0"/>
    <n v="5"/>
    <n v="18640"/>
    <x v="191"/>
    <n v="71050"/>
    <n v="22150"/>
  </r>
  <r>
    <s v="ORD1195"/>
    <x v="110"/>
    <x v="0"/>
    <x v="1"/>
    <x v="4"/>
    <x v="2"/>
    <n v="1"/>
    <n v="10820"/>
    <x v="192"/>
    <n v="7490"/>
    <n v="3330"/>
  </r>
  <r>
    <s v="ORD1196"/>
    <x v="18"/>
    <x v="2"/>
    <x v="1"/>
    <x v="9"/>
    <x v="0"/>
    <n v="5"/>
    <n v="14480"/>
    <x v="193"/>
    <n v="45020"/>
    <n v="27380"/>
  </r>
  <r>
    <s v="ORD1197"/>
    <x v="108"/>
    <x v="3"/>
    <x v="2"/>
    <x v="4"/>
    <x v="2"/>
    <n v="4"/>
    <n v="12000"/>
    <x v="194"/>
    <n v="39360"/>
    <n v="8640"/>
  </r>
  <r>
    <s v="ORD1198"/>
    <x v="124"/>
    <x v="3"/>
    <x v="4"/>
    <x v="8"/>
    <x v="0"/>
    <n v="7"/>
    <n v="40670"/>
    <x v="195"/>
    <n v="239450"/>
    <n v="45240"/>
  </r>
  <r>
    <s v="ORD1199"/>
    <x v="65"/>
    <x v="1"/>
    <x v="5"/>
    <x v="2"/>
    <x v="1"/>
    <n v="7"/>
    <n v="4690"/>
    <x v="196"/>
    <n v="23650"/>
    <n v="9180"/>
  </r>
  <r>
    <s v="ORD1200"/>
    <x v="125"/>
    <x v="3"/>
    <x v="2"/>
    <x v="3"/>
    <x v="1"/>
    <n v="3"/>
    <n v="3710"/>
    <x v="197"/>
    <n v="8550"/>
    <n v="2580"/>
  </r>
  <r>
    <s v="ORD1201"/>
    <x v="126"/>
    <x v="1"/>
    <x v="5"/>
    <x v="0"/>
    <x v="0"/>
    <n v="4"/>
    <n v="17770"/>
    <x v="198"/>
    <n v="50900"/>
    <n v="20180"/>
  </r>
  <r>
    <s v="ORD1202"/>
    <x v="70"/>
    <x v="1"/>
    <x v="4"/>
    <x v="3"/>
    <x v="1"/>
    <n v="4"/>
    <n v="3380"/>
    <x v="199"/>
    <n v="8930"/>
    <n v="4590"/>
  </r>
  <r>
    <s v="ORD1203"/>
    <x v="96"/>
    <x v="0"/>
    <x v="1"/>
    <x v="6"/>
    <x v="1"/>
    <n v="6"/>
    <n v="1160"/>
    <x v="200"/>
    <n v="5920"/>
    <n v="1040"/>
  </r>
  <r>
    <s v="ORD1204"/>
    <x v="1"/>
    <x v="1"/>
    <x v="1"/>
    <x v="7"/>
    <x v="1"/>
    <n v="5"/>
    <n v="2350"/>
    <x v="201"/>
    <n v="8980"/>
    <n v="2770"/>
  </r>
  <r>
    <s v="ORD1205"/>
    <x v="90"/>
    <x v="2"/>
    <x v="0"/>
    <x v="5"/>
    <x v="2"/>
    <n v="8"/>
    <n v="16810"/>
    <x v="202"/>
    <n v="107900"/>
    <n v="26580"/>
  </r>
  <r>
    <s v="ORD1206"/>
    <x v="127"/>
    <x v="0"/>
    <x v="5"/>
    <x v="2"/>
    <x v="1"/>
    <n v="6"/>
    <n v="4830"/>
    <x v="203"/>
    <n v="22330"/>
    <n v="6650"/>
  </r>
  <r>
    <s v="ORD1207"/>
    <x v="26"/>
    <x v="1"/>
    <x v="3"/>
    <x v="5"/>
    <x v="2"/>
    <n v="8"/>
    <n v="16420"/>
    <x v="204"/>
    <n v="106550"/>
    <n v="24810"/>
  </r>
  <r>
    <s v="ORD1208"/>
    <x v="128"/>
    <x v="3"/>
    <x v="3"/>
    <x v="0"/>
    <x v="0"/>
    <n v="5"/>
    <n v="17860"/>
    <x v="205"/>
    <n v="56170"/>
    <n v="33130"/>
  </r>
  <r>
    <s v="ORD1209"/>
    <x v="30"/>
    <x v="1"/>
    <x v="5"/>
    <x v="0"/>
    <x v="0"/>
    <n v="7"/>
    <n v="17870"/>
    <x v="206"/>
    <n v="94200"/>
    <n v="30890"/>
  </r>
  <r>
    <s v="ORD1210"/>
    <x v="129"/>
    <x v="0"/>
    <x v="2"/>
    <x v="2"/>
    <x v="1"/>
    <n v="4"/>
    <n v="4340"/>
    <x v="162"/>
    <n v="12740"/>
    <n v="4620"/>
  </r>
  <r>
    <s v="ORD1211"/>
    <x v="130"/>
    <x v="0"/>
    <x v="2"/>
    <x v="0"/>
    <x v="0"/>
    <n v="6"/>
    <n v="19740"/>
    <x v="207"/>
    <n v="75830"/>
    <n v="42610"/>
  </r>
  <r>
    <s v="ORD1212"/>
    <x v="82"/>
    <x v="3"/>
    <x v="3"/>
    <x v="5"/>
    <x v="2"/>
    <n v="8"/>
    <n v="16080"/>
    <x v="208"/>
    <n v="98580"/>
    <n v="30060"/>
  </r>
  <r>
    <s v="ORD1213"/>
    <x v="131"/>
    <x v="1"/>
    <x v="0"/>
    <x v="4"/>
    <x v="2"/>
    <n v="7"/>
    <n v="12660"/>
    <x v="209"/>
    <n v="69380"/>
    <n v="19240"/>
  </r>
  <r>
    <s v="ORD1214"/>
    <x v="94"/>
    <x v="2"/>
    <x v="3"/>
    <x v="3"/>
    <x v="1"/>
    <n v="2"/>
    <n v="3380"/>
    <x v="210"/>
    <n v="5100"/>
    <n v="1660"/>
  </r>
  <r>
    <s v="ORD1215"/>
    <x v="80"/>
    <x v="0"/>
    <x v="3"/>
    <x v="2"/>
    <x v="1"/>
    <n v="3"/>
    <n v="4350"/>
    <x v="211"/>
    <n v="9920"/>
    <n v="3130"/>
  </r>
  <r>
    <s v="ORD1216"/>
    <x v="70"/>
    <x v="3"/>
    <x v="4"/>
    <x v="4"/>
    <x v="2"/>
    <n v="3"/>
    <n v="12230"/>
    <x v="212"/>
    <n v="31010"/>
    <n v="5680"/>
  </r>
  <r>
    <s v="ORD1217"/>
    <x v="132"/>
    <x v="1"/>
    <x v="0"/>
    <x v="3"/>
    <x v="1"/>
    <n v="3"/>
    <n v="3620"/>
    <x v="213"/>
    <n v="8890"/>
    <n v="1970"/>
  </r>
  <r>
    <s v="ORD1218"/>
    <x v="133"/>
    <x v="0"/>
    <x v="3"/>
    <x v="4"/>
    <x v="2"/>
    <n v="6"/>
    <n v="10840"/>
    <x v="214"/>
    <n v="45150"/>
    <n v="19890"/>
  </r>
  <r>
    <s v="ORD1219"/>
    <x v="134"/>
    <x v="1"/>
    <x v="3"/>
    <x v="5"/>
    <x v="2"/>
    <n v="4"/>
    <n v="15120"/>
    <x v="215"/>
    <n v="39490"/>
    <n v="20990"/>
  </r>
  <r>
    <s v="ORD1220"/>
    <x v="97"/>
    <x v="0"/>
    <x v="4"/>
    <x v="0"/>
    <x v="0"/>
    <n v="1"/>
    <n v="18580"/>
    <x v="216"/>
    <n v="15430"/>
    <n v="3150"/>
  </r>
  <r>
    <s v="ORD1221"/>
    <x v="132"/>
    <x v="0"/>
    <x v="0"/>
    <x v="7"/>
    <x v="1"/>
    <n v="3"/>
    <n v="2340"/>
    <x v="217"/>
    <n v="5520"/>
    <n v="1500"/>
  </r>
  <r>
    <s v="ORD1222"/>
    <x v="135"/>
    <x v="2"/>
    <x v="4"/>
    <x v="8"/>
    <x v="0"/>
    <n v="7"/>
    <n v="43780"/>
    <x v="218"/>
    <n v="242930"/>
    <n v="63530"/>
  </r>
  <r>
    <s v="ORD1223"/>
    <x v="131"/>
    <x v="2"/>
    <x v="1"/>
    <x v="5"/>
    <x v="2"/>
    <n v="4"/>
    <n v="16110"/>
    <x v="219"/>
    <n v="44740"/>
    <n v="19700"/>
  </r>
  <r>
    <s v="ORD1224"/>
    <x v="9"/>
    <x v="2"/>
    <x v="4"/>
    <x v="2"/>
    <x v="1"/>
    <n v="8"/>
    <n v="4470"/>
    <x v="220"/>
    <n v="24590"/>
    <n v="11170"/>
  </r>
  <r>
    <s v="ORD1225"/>
    <x v="34"/>
    <x v="0"/>
    <x v="3"/>
    <x v="4"/>
    <x v="2"/>
    <n v="3"/>
    <n v="12760"/>
    <x v="221"/>
    <n v="31090"/>
    <n v="7190"/>
  </r>
  <r>
    <s v="ORD1226"/>
    <x v="40"/>
    <x v="1"/>
    <x v="3"/>
    <x v="5"/>
    <x v="2"/>
    <n v="6"/>
    <n v="16170"/>
    <x v="222"/>
    <n v="62540"/>
    <n v="34480"/>
  </r>
  <r>
    <s v="ORD1227"/>
    <x v="136"/>
    <x v="2"/>
    <x v="2"/>
    <x v="7"/>
    <x v="1"/>
    <n v="5"/>
    <n v="2470"/>
    <x v="223"/>
    <n v="9180"/>
    <n v="3170"/>
  </r>
  <r>
    <s v="ORD1228"/>
    <x v="110"/>
    <x v="2"/>
    <x v="4"/>
    <x v="5"/>
    <x v="2"/>
    <n v="6"/>
    <n v="17380"/>
    <x v="224"/>
    <n v="75040"/>
    <n v="29240"/>
  </r>
  <r>
    <s v="ORD1229"/>
    <x v="19"/>
    <x v="1"/>
    <x v="3"/>
    <x v="6"/>
    <x v="1"/>
    <n v="7"/>
    <n v="1320"/>
    <x v="86"/>
    <n v="6560"/>
    <n v="2680"/>
  </r>
  <r>
    <s v="ORD1230"/>
    <x v="137"/>
    <x v="2"/>
    <x v="0"/>
    <x v="3"/>
    <x v="1"/>
    <n v="3"/>
    <n v="3250"/>
    <x v="225"/>
    <n v="6720"/>
    <n v="3030"/>
  </r>
  <r>
    <s v="ORD1231"/>
    <x v="111"/>
    <x v="1"/>
    <x v="3"/>
    <x v="5"/>
    <x v="2"/>
    <n v="8"/>
    <n v="16370"/>
    <x v="226"/>
    <n v="109670"/>
    <n v="21290"/>
  </r>
  <r>
    <s v="ORD1232"/>
    <x v="138"/>
    <x v="3"/>
    <x v="2"/>
    <x v="7"/>
    <x v="1"/>
    <n v="7"/>
    <n v="2310"/>
    <x v="227"/>
    <n v="11140"/>
    <n v="5030"/>
  </r>
  <r>
    <s v="ORD1233"/>
    <x v="139"/>
    <x v="1"/>
    <x v="2"/>
    <x v="6"/>
    <x v="1"/>
    <n v="7"/>
    <n v="1230"/>
    <x v="228"/>
    <n v="6630"/>
    <n v="1980"/>
  </r>
  <r>
    <s v="ORD1234"/>
    <x v="140"/>
    <x v="0"/>
    <x v="3"/>
    <x v="2"/>
    <x v="1"/>
    <n v="1"/>
    <n v="4620"/>
    <x v="229"/>
    <n v="3500"/>
    <n v="1120"/>
  </r>
  <r>
    <s v="ORD1235"/>
    <x v="65"/>
    <x v="1"/>
    <x v="4"/>
    <x v="8"/>
    <x v="0"/>
    <n v="6"/>
    <n v="42670"/>
    <x v="230"/>
    <n v="184330"/>
    <n v="71690"/>
  </r>
  <r>
    <s v="ORD1236"/>
    <x v="78"/>
    <x v="2"/>
    <x v="3"/>
    <x v="0"/>
    <x v="0"/>
    <n v="1"/>
    <n v="17610"/>
    <x v="231"/>
    <n v="12910"/>
    <n v="4700"/>
  </r>
  <r>
    <s v="ORD1237"/>
    <x v="80"/>
    <x v="1"/>
    <x v="4"/>
    <x v="8"/>
    <x v="0"/>
    <n v="6"/>
    <n v="47600"/>
    <x v="232"/>
    <n v="200710"/>
    <n v="84890"/>
  </r>
  <r>
    <s v="ORD1238"/>
    <x v="33"/>
    <x v="0"/>
    <x v="0"/>
    <x v="3"/>
    <x v="1"/>
    <n v="3"/>
    <n v="3180"/>
    <x v="233"/>
    <n v="7160"/>
    <n v="2380"/>
  </r>
  <r>
    <s v="ORD1239"/>
    <x v="105"/>
    <x v="2"/>
    <x v="2"/>
    <x v="5"/>
    <x v="2"/>
    <n v="3"/>
    <n v="17000"/>
    <x v="234"/>
    <n v="32390"/>
    <n v="18610"/>
  </r>
  <r>
    <s v="ORD1240"/>
    <x v="75"/>
    <x v="3"/>
    <x v="3"/>
    <x v="6"/>
    <x v="1"/>
    <n v="1"/>
    <n v="1270"/>
    <x v="235"/>
    <n v="1060"/>
    <n v="210"/>
  </r>
  <r>
    <s v="ORD1241"/>
    <x v="141"/>
    <x v="0"/>
    <x v="3"/>
    <x v="4"/>
    <x v="2"/>
    <n v="8"/>
    <n v="11410"/>
    <x v="236"/>
    <n v="73100"/>
    <n v="18180"/>
  </r>
  <r>
    <s v="ORD1242"/>
    <x v="42"/>
    <x v="2"/>
    <x v="5"/>
    <x v="8"/>
    <x v="0"/>
    <n v="6"/>
    <n v="42960"/>
    <x v="237"/>
    <n v="209260"/>
    <n v="48500"/>
  </r>
  <r>
    <s v="ORD1243"/>
    <x v="100"/>
    <x v="2"/>
    <x v="3"/>
    <x v="5"/>
    <x v="2"/>
    <n v="7"/>
    <n v="15480"/>
    <x v="238"/>
    <n v="72040"/>
    <n v="36320"/>
  </r>
  <r>
    <s v="ORD1244"/>
    <x v="142"/>
    <x v="1"/>
    <x v="5"/>
    <x v="1"/>
    <x v="0"/>
    <n v="5"/>
    <n v="29690"/>
    <x v="239"/>
    <n v="117940"/>
    <n v="30510"/>
  </r>
  <r>
    <s v="ORD1245"/>
    <x v="143"/>
    <x v="3"/>
    <x v="3"/>
    <x v="7"/>
    <x v="1"/>
    <n v="5"/>
    <n v="2410"/>
    <x v="240"/>
    <n v="7700"/>
    <n v="4350"/>
  </r>
  <r>
    <s v="ORD1246"/>
    <x v="3"/>
    <x v="2"/>
    <x v="2"/>
    <x v="2"/>
    <x v="1"/>
    <n v="7"/>
    <n v="4200"/>
    <x v="241"/>
    <n v="21360"/>
    <n v="8040"/>
  </r>
  <r>
    <s v="ORD1247"/>
    <x v="6"/>
    <x v="1"/>
    <x v="2"/>
    <x v="3"/>
    <x v="1"/>
    <n v="7"/>
    <n v="3340"/>
    <x v="242"/>
    <n v="19990"/>
    <n v="3390"/>
  </r>
  <r>
    <s v="ORD1248"/>
    <x v="133"/>
    <x v="0"/>
    <x v="2"/>
    <x v="4"/>
    <x v="2"/>
    <n v="6"/>
    <n v="12030"/>
    <x v="243"/>
    <n v="57740"/>
    <n v="14440"/>
  </r>
  <r>
    <s v="ORD1249"/>
    <x v="121"/>
    <x v="3"/>
    <x v="3"/>
    <x v="2"/>
    <x v="1"/>
    <n v="8"/>
    <n v="4080"/>
    <x v="244"/>
    <n v="20760"/>
    <n v="11880"/>
  </r>
  <r>
    <s v="ORD1250"/>
    <x v="144"/>
    <x v="3"/>
    <x v="3"/>
    <x v="2"/>
    <x v="1"/>
    <n v="1"/>
    <n v="4590"/>
    <x v="245"/>
    <n v="3590"/>
    <n v="1000"/>
  </r>
  <r>
    <s v="ORD1251"/>
    <x v="145"/>
    <x v="3"/>
    <x v="1"/>
    <x v="0"/>
    <x v="0"/>
    <n v="3"/>
    <n v="18110"/>
    <x v="246"/>
    <n v="38870"/>
    <n v="15460"/>
  </r>
  <r>
    <s v="ORD1252"/>
    <x v="47"/>
    <x v="1"/>
    <x v="3"/>
    <x v="8"/>
    <x v="0"/>
    <n v="3"/>
    <n v="44990"/>
    <x v="247"/>
    <n v="96220"/>
    <n v="38750"/>
  </r>
  <r>
    <s v="ORD1253"/>
    <x v="114"/>
    <x v="2"/>
    <x v="1"/>
    <x v="9"/>
    <x v="0"/>
    <n v="8"/>
    <n v="14140"/>
    <x v="248"/>
    <n v="86750"/>
    <n v="26370"/>
  </r>
  <r>
    <s v="ORD1254"/>
    <x v="86"/>
    <x v="2"/>
    <x v="2"/>
    <x v="7"/>
    <x v="1"/>
    <n v="2"/>
    <n v="2480"/>
    <x v="51"/>
    <n v="4140"/>
    <n v="820"/>
  </r>
  <r>
    <s v="ORD1255"/>
    <x v="129"/>
    <x v="3"/>
    <x v="3"/>
    <x v="3"/>
    <x v="1"/>
    <n v="6"/>
    <n v="3650"/>
    <x v="249"/>
    <n v="16470"/>
    <n v="5430"/>
  </r>
  <r>
    <s v="ORD1256"/>
    <x v="17"/>
    <x v="0"/>
    <x v="1"/>
    <x v="7"/>
    <x v="1"/>
    <n v="6"/>
    <n v="2500"/>
    <x v="250"/>
    <n v="9740"/>
    <n v="5260"/>
  </r>
  <r>
    <s v="ORD1257"/>
    <x v="146"/>
    <x v="2"/>
    <x v="4"/>
    <x v="5"/>
    <x v="2"/>
    <n v="1"/>
    <n v="15550"/>
    <x v="251"/>
    <n v="11780"/>
    <n v="3770"/>
  </r>
  <r>
    <s v="ORD1258"/>
    <x v="108"/>
    <x v="2"/>
    <x v="4"/>
    <x v="2"/>
    <x v="1"/>
    <n v="2"/>
    <n v="4110"/>
    <x v="252"/>
    <n v="5880"/>
    <n v="2340"/>
  </r>
  <r>
    <s v="ORD1259"/>
    <x v="147"/>
    <x v="1"/>
    <x v="5"/>
    <x v="4"/>
    <x v="2"/>
    <n v="2"/>
    <n v="11100"/>
    <x v="253"/>
    <n v="15450"/>
    <n v="6750"/>
  </r>
  <r>
    <s v="ORD1260"/>
    <x v="148"/>
    <x v="0"/>
    <x v="1"/>
    <x v="1"/>
    <x v="0"/>
    <n v="6"/>
    <n v="25920"/>
    <x v="254"/>
    <n v="127370"/>
    <n v="28150"/>
  </r>
  <r>
    <s v="ORD1261"/>
    <x v="49"/>
    <x v="3"/>
    <x v="1"/>
    <x v="1"/>
    <x v="0"/>
    <n v="1"/>
    <n v="29860"/>
    <x v="255"/>
    <n v="22230"/>
    <n v="7630"/>
  </r>
  <r>
    <s v="ORD1262"/>
    <x v="149"/>
    <x v="3"/>
    <x v="2"/>
    <x v="3"/>
    <x v="1"/>
    <n v="4"/>
    <n v="3390"/>
    <x v="256"/>
    <n v="11470"/>
    <n v="2090"/>
  </r>
  <r>
    <s v="ORD1263"/>
    <x v="80"/>
    <x v="1"/>
    <x v="4"/>
    <x v="6"/>
    <x v="1"/>
    <n v="5"/>
    <n v="1110"/>
    <x v="42"/>
    <n v="3840"/>
    <n v="1710"/>
  </r>
  <r>
    <s v="ORD1264"/>
    <x v="46"/>
    <x v="3"/>
    <x v="4"/>
    <x v="7"/>
    <x v="1"/>
    <n v="3"/>
    <n v="2340"/>
    <x v="217"/>
    <n v="5400"/>
    <n v="1620"/>
  </r>
  <r>
    <s v="ORD1265"/>
    <x v="87"/>
    <x v="3"/>
    <x v="0"/>
    <x v="8"/>
    <x v="0"/>
    <n v="2"/>
    <n v="40910"/>
    <x v="257"/>
    <n v="63320"/>
    <n v="18500"/>
  </r>
  <r>
    <s v="ORD1266"/>
    <x v="39"/>
    <x v="3"/>
    <x v="0"/>
    <x v="2"/>
    <x v="1"/>
    <n v="7"/>
    <n v="4610"/>
    <x v="258"/>
    <n v="20240"/>
    <n v="12030"/>
  </r>
  <r>
    <s v="ORD1267"/>
    <x v="150"/>
    <x v="3"/>
    <x v="5"/>
    <x v="5"/>
    <x v="2"/>
    <n v="4"/>
    <n v="16980"/>
    <x v="259"/>
    <n v="53280"/>
    <n v="14640"/>
  </r>
  <r>
    <s v="ORD1268"/>
    <x v="151"/>
    <x v="0"/>
    <x v="3"/>
    <x v="8"/>
    <x v="0"/>
    <n v="3"/>
    <n v="44460"/>
    <x v="260"/>
    <n v="98200"/>
    <n v="35180"/>
  </r>
  <r>
    <s v="ORD1269"/>
    <x v="123"/>
    <x v="3"/>
    <x v="5"/>
    <x v="7"/>
    <x v="1"/>
    <n v="6"/>
    <n v="2680"/>
    <x v="137"/>
    <n v="11200"/>
    <n v="4880"/>
  </r>
  <r>
    <s v="ORD1270"/>
    <x v="108"/>
    <x v="3"/>
    <x v="5"/>
    <x v="3"/>
    <x v="1"/>
    <n v="2"/>
    <n v="3370"/>
    <x v="261"/>
    <n v="4930"/>
    <n v="1810"/>
  </r>
  <r>
    <s v="ORD1271"/>
    <x v="82"/>
    <x v="2"/>
    <x v="1"/>
    <x v="7"/>
    <x v="1"/>
    <n v="2"/>
    <n v="2280"/>
    <x v="117"/>
    <n v="3860"/>
    <n v="700"/>
  </r>
  <r>
    <s v="ORD1272"/>
    <x v="17"/>
    <x v="2"/>
    <x v="5"/>
    <x v="3"/>
    <x v="1"/>
    <n v="6"/>
    <n v="3280"/>
    <x v="262"/>
    <n v="12950"/>
    <n v="6730"/>
  </r>
  <r>
    <s v="ORD1273"/>
    <x v="152"/>
    <x v="2"/>
    <x v="1"/>
    <x v="5"/>
    <x v="2"/>
    <n v="1"/>
    <n v="14690"/>
    <x v="263"/>
    <n v="10490"/>
    <n v="4200"/>
  </r>
  <r>
    <s v="ORD1274"/>
    <x v="138"/>
    <x v="2"/>
    <x v="3"/>
    <x v="2"/>
    <x v="1"/>
    <n v="6"/>
    <n v="4090"/>
    <x v="264"/>
    <n v="16870"/>
    <n v="7670"/>
  </r>
  <r>
    <s v="ORD1275"/>
    <x v="38"/>
    <x v="3"/>
    <x v="5"/>
    <x v="8"/>
    <x v="0"/>
    <n v="2"/>
    <n v="44380"/>
    <x v="265"/>
    <n v="73830"/>
    <n v="14930"/>
  </r>
  <r>
    <s v="ORD1276"/>
    <x v="109"/>
    <x v="3"/>
    <x v="4"/>
    <x v="8"/>
    <x v="0"/>
    <n v="7"/>
    <n v="40960"/>
    <x v="266"/>
    <n v="216430"/>
    <n v="70290"/>
  </r>
  <r>
    <s v="ORD1277"/>
    <x v="84"/>
    <x v="3"/>
    <x v="4"/>
    <x v="0"/>
    <x v="0"/>
    <n v="7"/>
    <n v="18020"/>
    <x v="267"/>
    <n v="101350"/>
    <n v="24790"/>
  </r>
  <r>
    <s v="ORD1278"/>
    <x v="153"/>
    <x v="3"/>
    <x v="3"/>
    <x v="2"/>
    <x v="1"/>
    <n v="2"/>
    <n v="4170"/>
    <x v="268"/>
    <n v="5360"/>
    <n v="2980"/>
  </r>
  <r>
    <s v="ORD1279"/>
    <x v="57"/>
    <x v="1"/>
    <x v="2"/>
    <x v="3"/>
    <x v="1"/>
    <n v="3"/>
    <n v="3290"/>
    <x v="269"/>
    <n v="7330"/>
    <n v="2540"/>
  </r>
  <r>
    <s v="ORD1280"/>
    <x v="41"/>
    <x v="0"/>
    <x v="4"/>
    <x v="7"/>
    <x v="1"/>
    <n v="6"/>
    <n v="2650"/>
    <x v="270"/>
    <n v="11840"/>
    <n v="4060"/>
  </r>
  <r>
    <s v="ORD1281"/>
    <x v="141"/>
    <x v="2"/>
    <x v="4"/>
    <x v="7"/>
    <x v="1"/>
    <n v="6"/>
    <n v="2720"/>
    <x v="271"/>
    <n v="11370"/>
    <n v="4950"/>
  </r>
  <r>
    <s v="ORD1282"/>
    <x v="154"/>
    <x v="2"/>
    <x v="0"/>
    <x v="9"/>
    <x v="0"/>
    <n v="6"/>
    <n v="15020"/>
    <x v="272"/>
    <n v="66900"/>
    <n v="23220"/>
  </r>
  <r>
    <s v="ORD1283"/>
    <x v="127"/>
    <x v="1"/>
    <x v="5"/>
    <x v="9"/>
    <x v="0"/>
    <n v="8"/>
    <n v="15950"/>
    <x v="273"/>
    <n v="90390"/>
    <n v="37210"/>
  </r>
  <r>
    <s v="ORD1284"/>
    <x v="88"/>
    <x v="0"/>
    <x v="0"/>
    <x v="9"/>
    <x v="0"/>
    <n v="1"/>
    <n v="15290"/>
    <x v="274"/>
    <n v="10450"/>
    <n v="4840"/>
  </r>
  <r>
    <s v="ORD1285"/>
    <x v="40"/>
    <x v="2"/>
    <x v="1"/>
    <x v="2"/>
    <x v="1"/>
    <n v="8"/>
    <n v="4200"/>
    <x v="275"/>
    <n v="25900"/>
    <n v="7700"/>
  </r>
  <r>
    <s v="ORD1286"/>
    <x v="72"/>
    <x v="0"/>
    <x v="2"/>
    <x v="6"/>
    <x v="1"/>
    <n v="1"/>
    <n v="1220"/>
    <x v="276"/>
    <n v="960"/>
    <n v="260"/>
  </r>
  <r>
    <s v="ORD1287"/>
    <x v="135"/>
    <x v="2"/>
    <x v="4"/>
    <x v="3"/>
    <x v="1"/>
    <n v="7"/>
    <n v="3260"/>
    <x v="277"/>
    <n v="17930"/>
    <n v="4890"/>
  </r>
  <r>
    <s v="ORD1288"/>
    <x v="114"/>
    <x v="1"/>
    <x v="0"/>
    <x v="2"/>
    <x v="1"/>
    <n v="8"/>
    <n v="4840"/>
    <x v="278"/>
    <n v="30840"/>
    <n v="7880"/>
  </r>
  <r>
    <s v="ORD1289"/>
    <x v="111"/>
    <x v="2"/>
    <x v="4"/>
    <x v="1"/>
    <x v="0"/>
    <n v="4"/>
    <n v="28340"/>
    <x v="279"/>
    <n v="97440"/>
    <n v="15920"/>
  </r>
  <r>
    <s v="ORD1290"/>
    <x v="132"/>
    <x v="3"/>
    <x v="0"/>
    <x v="3"/>
    <x v="1"/>
    <n v="3"/>
    <n v="3470"/>
    <x v="280"/>
    <n v="7790"/>
    <n v="2620"/>
  </r>
  <r>
    <s v="ORD1291"/>
    <x v="90"/>
    <x v="3"/>
    <x v="1"/>
    <x v="9"/>
    <x v="0"/>
    <n v="8"/>
    <n v="14080"/>
    <x v="281"/>
    <n v="76500"/>
    <n v="36140"/>
  </r>
  <r>
    <s v="ORD1292"/>
    <x v="50"/>
    <x v="2"/>
    <x v="3"/>
    <x v="9"/>
    <x v="0"/>
    <n v="4"/>
    <n v="15570"/>
    <x v="282"/>
    <n v="45920"/>
    <n v="16360"/>
  </r>
  <r>
    <s v="ORD1293"/>
    <x v="155"/>
    <x v="2"/>
    <x v="5"/>
    <x v="9"/>
    <x v="0"/>
    <n v="5"/>
    <n v="13870"/>
    <x v="283"/>
    <n v="54260"/>
    <n v="15090"/>
  </r>
  <r>
    <s v="ORD1294"/>
    <x v="45"/>
    <x v="1"/>
    <x v="3"/>
    <x v="3"/>
    <x v="1"/>
    <n v="3"/>
    <n v="3350"/>
    <x v="284"/>
    <n v="6920"/>
    <n v="3130"/>
  </r>
  <r>
    <s v="ORD1295"/>
    <x v="145"/>
    <x v="3"/>
    <x v="4"/>
    <x v="9"/>
    <x v="0"/>
    <n v="8"/>
    <n v="14140"/>
    <x v="248"/>
    <n v="92610"/>
    <n v="20510"/>
  </r>
  <r>
    <s v="ORD1296"/>
    <x v="55"/>
    <x v="0"/>
    <x v="1"/>
    <x v="9"/>
    <x v="0"/>
    <n v="3"/>
    <n v="13830"/>
    <x v="285"/>
    <n v="33100"/>
    <n v="8390"/>
  </r>
  <r>
    <s v="ORD1297"/>
    <x v="139"/>
    <x v="2"/>
    <x v="3"/>
    <x v="1"/>
    <x v="0"/>
    <n v="4"/>
    <n v="28770"/>
    <x v="286"/>
    <n v="72800"/>
    <n v="42280"/>
  </r>
  <r>
    <s v="ORD1298"/>
    <x v="71"/>
    <x v="0"/>
    <x v="5"/>
    <x v="5"/>
    <x v="2"/>
    <n v="2"/>
    <n v="16580"/>
    <x v="287"/>
    <n v="21650"/>
    <n v="11510"/>
  </r>
  <r>
    <s v="ORD1299"/>
    <x v="28"/>
    <x v="3"/>
    <x v="3"/>
    <x v="5"/>
    <x v="2"/>
    <n v="8"/>
    <n v="16480"/>
    <x v="288"/>
    <n v="105660"/>
    <n v="26180"/>
  </r>
  <r>
    <s v="ORD1300"/>
    <x v="84"/>
    <x v="1"/>
    <x v="1"/>
    <x v="8"/>
    <x v="0"/>
    <n v="2"/>
    <n v="46370"/>
    <x v="289"/>
    <n v="62670"/>
    <n v="300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3:B39"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11">
        <item x="5"/>
        <item h="1" x="3"/>
        <item h="1" x="7"/>
        <item x="8"/>
        <item x="0"/>
        <item h="1" x="6"/>
        <item h="1" x="4"/>
        <item x="9"/>
        <item x="1"/>
        <item h="1" x="2"/>
        <item t="default"/>
      </items>
    </pivotField>
    <pivotField showAll="0"/>
    <pivotField showAll="0"/>
    <pivotField numFmtId="165" showAll="0"/>
    <pivotField dataField="1" numFmtId="165" showAll="0"/>
    <pivotField numFmtId="165" showAll="0"/>
    <pivotField numFmtId="165" showAll="0"/>
  </pivotFields>
  <rowFields count="1">
    <field x="4"/>
  </rowFields>
  <rowItems count="6">
    <i>
      <x/>
    </i>
    <i>
      <x v="3"/>
    </i>
    <i>
      <x v="4"/>
    </i>
    <i>
      <x v="7"/>
    </i>
    <i>
      <x v="8"/>
    </i>
    <i t="grand">
      <x/>
    </i>
  </rowItems>
  <colItems count="1">
    <i/>
  </colItems>
  <dataFields count="1">
    <dataField name="Sum of Sales Amount" fld="8" baseField="0" baseItem="0" numFmtId="166"/>
  </dataFields>
  <formats count="2">
    <format dxfId="31">
      <pivotArea outline="0" collapsedLevelsAreSubtotals="1" fieldPosition="0"/>
    </format>
    <format dxfId="30">
      <pivotArea dataOnly="0" labelOnly="1" fieldPosition="0">
        <references count="1">
          <reference field="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9"/>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8"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axis="axisRow" showAll="0">
      <items count="5">
        <item x="3"/>
        <item x="0"/>
        <item x="1"/>
        <item x="2"/>
        <item t="default"/>
      </items>
    </pivotField>
    <pivotField showAll="0">
      <items count="7">
        <item x="2"/>
        <item h="1" x="0"/>
        <item h="1" x="1"/>
        <item h="1" x="3"/>
        <item h="1" x="5"/>
        <item h="1" x="4"/>
        <item t="default"/>
      </items>
    </pivotField>
    <pivotField showAll="0"/>
    <pivotField showAll="0"/>
    <pivotField showAll="0"/>
    <pivotField numFmtId="165" showAll="0"/>
    <pivotField dataField="1" numFmtId="165" showAll="0"/>
    <pivotField numFmtId="165" showAll="0"/>
    <pivotField numFmtId="165" showAll="0"/>
  </pivotFields>
  <rowFields count="1">
    <field x="2"/>
  </rowFields>
  <rowItems count="5">
    <i>
      <x/>
    </i>
    <i>
      <x v="1"/>
    </i>
    <i>
      <x v="2"/>
    </i>
    <i>
      <x v="3"/>
    </i>
    <i t="grand">
      <x/>
    </i>
  </rowItems>
  <colItems count="1">
    <i/>
  </colItems>
  <dataFields count="1">
    <dataField name="Sum of Sales Amount" fld="8" baseField="0" baseItem="0"/>
  </dataFields>
  <formats count="2">
    <format dxfId="14">
      <pivotArea outline="0" collapsedLevelsAreSubtotals="1" fieldPosition="0"/>
    </format>
    <format dxfId="15">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60:B64" firstHeaderRow="1" firstDataRow="1" firstDataCol="1"/>
  <pivotFields count="11">
    <pivotField showAll="0"/>
    <pivotField numFmtId="164" showAll="0"/>
    <pivotField showAll="0"/>
    <pivotField showAll="0"/>
    <pivotField showAll="0"/>
    <pivotField axis="axisRow" showAll="0">
      <items count="4">
        <item x="1"/>
        <item x="0"/>
        <item x="2"/>
        <item t="default"/>
      </items>
    </pivotField>
    <pivotField showAll="0"/>
    <pivotField numFmtId="165" showAll="0"/>
    <pivotField numFmtId="165" showAll="0"/>
    <pivotField numFmtId="165" showAll="0"/>
    <pivotField dataField="1" numFmtId="165" showAll="0"/>
  </pivotFields>
  <rowFields count="1">
    <field x="5"/>
  </rowFields>
  <rowItems count="4">
    <i>
      <x/>
    </i>
    <i>
      <x v="1"/>
    </i>
    <i>
      <x v="2"/>
    </i>
    <i t="grand">
      <x/>
    </i>
  </rowItems>
  <colItems count="1">
    <i/>
  </colItems>
  <dataFields count="1">
    <dataField name="Sum of Profit" fld="10" baseField="0" baseItem="0" numFmtId="166"/>
  </dataFields>
  <formats count="2">
    <format dxfId="33">
      <pivotArea outline="0" collapsedLevelsAreSubtotals="1" fieldPosition="0"/>
    </format>
    <format dxfId="3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9:C56" firstHeaderRow="0" firstDataRow="1" firstDataCol="1"/>
  <pivotFields count="11">
    <pivotField showAll="0"/>
    <pivotField numFmtId="164" showAll="0"/>
    <pivotField showAll="0"/>
    <pivotField axis="axisRow" showAll="0">
      <items count="7">
        <item x="2"/>
        <item x="0"/>
        <item x="1"/>
        <item x="3"/>
        <item x="5"/>
        <item x="4"/>
        <item t="default"/>
      </items>
    </pivotField>
    <pivotField showAll="0"/>
    <pivotField showAll="0"/>
    <pivotField showAll="0"/>
    <pivotField numFmtId="165" showAll="0"/>
    <pivotField dataField="1" numFmtId="165" showAll="0"/>
    <pivotField numFmtId="165" showAll="0"/>
    <pivotField dataField="1" numFmtId="165" showAll="0"/>
  </pivotFields>
  <rowFields count="1">
    <field x="3"/>
  </rowFields>
  <rowItems count="7">
    <i>
      <x/>
    </i>
    <i>
      <x v="1"/>
    </i>
    <i>
      <x v="2"/>
    </i>
    <i>
      <x v="3"/>
    </i>
    <i>
      <x v="4"/>
    </i>
    <i>
      <x v="5"/>
    </i>
    <i t="grand">
      <x/>
    </i>
  </rowItems>
  <colFields count="1">
    <field x="-2"/>
  </colFields>
  <colItems count="2">
    <i>
      <x/>
    </i>
    <i i="1">
      <x v="1"/>
    </i>
  </colItems>
  <dataFields count="2">
    <dataField name="Sum of Sales Amount" fld="8" baseField="0" baseItem="0"/>
    <dataField name="Sum of Profit" fld="10" baseField="0" baseItem="0"/>
  </dataFields>
  <formats count="2">
    <format dxfId="35">
      <pivotArea outline="0" collapsedLevelsAreSubtotals="1"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7:B25" firstHeaderRow="1" firstDataRow="1" firstDataCol="1"/>
  <pivotFields count="11">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numFmtId="165" showAll="0"/>
    <pivotField dataField="1" numFmtId="165" showAll="0"/>
    <pivotField numFmtId="165" showAll="0"/>
    <pivotField numFmtId="165" showAll="0"/>
  </pivotFields>
  <rowFields count="1">
    <field x="1"/>
  </rowFields>
  <rowItems count="8">
    <i>
      <x v="1"/>
    </i>
    <i>
      <x v="2"/>
    </i>
    <i>
      <x v="3"/>
    </i>
    <i>
      <x v="4"/>
    </i>
    <i>
      <x v="5"/>
    </i>
    <i>
      <x v="6"/>
    </i>
    <i>
      <x v="7"/>
    </i>
    <i t="grand">
      <x/>
    </i>
  </rowItems>
  <colItems count="1">
    <i/>
  </colItems>
  <dataFields count="1">
    <dataField name="Sum of Sales Amount" fld="8" baseField="0" baseItem="0" numFmtId="166"/>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2"/>
  </pivotTables>
  <data>
    <tabular pivotCacheId="1">
      <items count="10">
        <i x="5" s="1"/>
        <i x="3"/>
        <i x="7"/>
        <i x="8" s="1"/>
        <i x="0" s="1"/>
        <i x="6"/>
        <i x="4"/>
        <i x="9"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1"/>
  </pivotTables>
  <data>
    <tabular pivotCacheId="1">
      <items count="6">
        <i x="2" s="1"/>
        <i x="0"/>
        <i x="1"/>
        <i x="3"/>
        <i x="5"/>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artItem="2" rowHeight="241300"/>
  <slicer name="Salesperson"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person 1"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
  <sheetViews>
    <sheetView workbookViewId="0">
      <pane ySplit="1" topLeftCell="A278" activePane="bottomLeft" state="frozen"/>
      <selection pane="bottomLeft" sqref="A1:K301"/>
    </sheetView>
  </sheetViews>
  <sheetFormatPr defaultRowHeight="15"/>
  <cols>
    <col min="1" max="1" width="10" customWidth="1"/>
    <col min="2" max="2" width="21" customWidth="1"/>
    <col min="3" max="3" width="8" customWidth="1"/>
    <col min="4" max="4" width="13" customWidth="1"/>
    <col min="5" max="5" width="14" customWidth="1"/>
    <col min="6" max="6" width="13" customWidth="1"/>
    <col min="7" max="7" width="10" customWidth="1"/>
    <col min="8" max="8" width="12" customWidth="1"/>
    <col min="9" max="9" width="14" customWidth="1"/>
    <col min="10" max="11" width="8"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s="2">
        <v>46186</v>
      </c>
      <c r="C2" t="s">
        <v>12</v>
      </c>
      <c r="D2" t="s">
        <v>13</v>
      </c>
      <c r="E2" t="s">
        <v>14</v>
      </c>
      <c r="F2" t="s">
        <v>15</v>
      </c>
      <c r="G2">
        <v>1</v>
      </c>
      <c r="H2" s="3">
        <v>18870</v>
      </c>
      <c r="I2" s="3">
        <v>18870</v>
      </c>
      <c r="J2" s="3">
        <v>12810</v>
      </c>
      <c r="K2" s="3">
        <v>6060</v>
      </c>
    </row>
    <row r="3" spans="1:11">
      <c r="A3" t="s">
        <v>16</v>
      </c>
      <c r="B3" s="2">
        <v>46049</v>
      </c>
      <c r="C3" t="s">
        <v>17</v>
      </c>
      <c r="D3" t="s">
        <v>18</v>
      </c>
      <c r="E3" t="s">
        <v>19</v>
      </c>
      <c r="F3" t="s">
        <v>15</v>
      </c>
      <c r="G3">
        <v>2</v>
      </c>
      <c r="H3" s="3">
        <v>28510</v>
      </c>
      <c r="I3" s="3">
        <v>57020</v>
      </c>
      <c r="J3" s="3">
        <v>35790</v>
      </c>
      <c r="K3" s="3">
        <v>21230</v>
      </c>
    </row>
    <row r="4" spans="1:11">
      <c r="A4" t="s">
        <v>20</v>
      </c>
      <c r="B4" s="2">
        <v>46082</v>
      </c>
      <c r="C4" t="s">
        <v>21</v>
      </c>
      <c r="D4" t="s">
        <v>18</v>
      </c>
      <c r="E4" t="s">
        <v>19</v>
      </c>
      <c r="F4" t="s">
        <v>15</v>
      </c>
      <c r="G4">
        <v>1</v>
      </c>
      <c r="H4" s="3">
        <v>28340</v>
      </c>
      <c r="I4" s="3">
        <v>28340</v>
      </c>
      <c r="J4" s="3">
        <v>22440</v>
      </c>
      <c r="K4" s="3">
        <v>5900</v>
      </c>
    </row>
    <row r="5" spans="1:11">
      <c r="A5" t="s">
        <v>22</v>
      </c>
      <c r="B5" s="2">
        <v>46137</v>
      </c>
      <c r="C5" t="s">
        <v>12</v>
      </c>
      <c r="D5" t="s">
        <v>13</v>
      </c>
      <c r="E5" t="s">
        <v>23</v>
      </c>
      <c r="F5" t="s">
        <v>24</v>
      </c>
      <c r="G5">
        <v>5</v>
      </c>
      <c r="H5" s="3">
        <v>4780</v>
      </c>
      <c r="I5" s="3">
        <v>23900</v>
      </c>
      <c r="J5" s="3">
        <v>14860</v>
      </c>
      <c r="K5" s="3">
        <v>9040</v>
      </c>
    </row>
    <row r="6" spans="1:11">
      <c r="A6" t="s">
        <v>25</v>
      </c>
      <c r="B6" s="2">
        <v>46131</v>
      </c>
      <c r="C6" t="s">
        <v>26</v>
      </c>
      <c r="D6" t="s">
        <v>27</v>
      </c>
      <c r="E6" t="s">
        <v>28</v>
      </c>
      <c r="F6" t="s">
        <v>24</v>
      </c>
      <c r="G6">
        <v>5</v>
      </c>
      <c r="H6" s="3">
        <v>3260</v>
      </c>
      <c r="I6" s="3">
        <v>16300</v>
      </c>
      <c r="J6" s="3">
        <v>13850</v>
      </c>
      <c r="K6" s="3">
        <v>2450</v>
      </c>
    </row>
    <row r="7" spans="1:11">
      <c r="A7" t="s">
        <v>29</v>
      </c>
      <c r="B7" s="2">
        <v>46046</v>
      </c>
      <c r="C7" t="s">
        <v>26</v>
      </c>
      <c r="D7" t="s">
        <v>27</v>
      </c>
      <c r="E7" t="s">
        <v>30</v>
      </c>
      <c r="F7" t="s">
        <v>31</v>
      </c>
      <c r="G7">
        <v>2</v>
      </c>
      <c r="H7" s="3">
        <v>11660</v>
      </c>
      <c r="I7" s="3">
        <v>23320</v>
      </c>
      <c r="J7" s="3">
        <v>16380</v>
      </c>
      <c r="K7" s="3">
        <v>6940</v>
      </c>
    </row>
    <row r="8" spans="1:11">
      <c r="A8" t="s">
        <v>32</v>
      </c>
      <c r="B8" s="2">
        <v>46209</v>
      </c>
      <c r="C8" t="s">
        <v>26</v>
      </c>
      <c r="D8" t="s">
        <v>13</v>
      </c>
      <c r="E8" t="s">
        <v>33</v>
      </c>
      <c r="F8" t="s">
        <v>31</v>
      </c>
      <c r="G8">
        <v>2</v>
      </c>
      <c r="H8" s="3">
        <v>17510</v>
      </c>
      <c r="I8" s="3">
        <v>35020</v>
      </c>
      <c r="J8" s="3">
        <v>24890</v>
      </c>
      <c r="K8" s="3">
        <v>10130</v>
      </c>
    </row>
    <row r="9" spans="1:11">
      <c r="A9" t="s">
        <v>34</v>
      </c>
      <c r="B9" s="2">
        <v>46181</v>
      </c>
      <c r="C9" t="s">
        <v>12</v>
      </c>
      <c r="D9" t="s">
        <v>35</v>
      </c>
      <c r="E9" t="s">
        <v>28</v>
      </c>
      <c r="F9" t="s">
        <v>24</v>
      </c>
      <c r="G9">
        <v>4</v>
      </c>
      <c r="H9" s="3">
        <v>3640</v>
      </c>
      <c r="I9" s="3">
        <v>14560</v>
      </c>
      <c r="J9" s="3">
        <v>9190</v>
      </c>
      <c r="K9" s="3">
        <v>5370</v>
      </c>
    </row>
    <row r="10" spans="1:11">
      <c r="A10" t="s">
        <v>36</v>
      </c>
      <c r="B10" s="2">
        <v>46043</v>
      </c>
      <c r="C10" t="s">
        <v>26</v>
      </c>
      <c r="D10" t="s">
        <v>18</v>
      </c>
      <c r="E10" t="s">
        <v>37</v>
      </c>
      <c r="F10" t="s">
        <v>24</v>
      </c>
      <c r="G10">
        <v>2</v>
      </c>
      <c r="H10" s="3">
        <v>1170</v>
      </c>
      <c r="I10" s="3">
        <v>2340</v>
      </c>
      <c r="J10" s="3">
        <v>1710</v>
      </c>
      <c r="K10" s="3">
        <v>630</v>
      </c>
    </row>
    <row r="11" spans="1:11">
      <c r="A11" t="s">
        <v>38</v>
      </c>
      <c r="B11" s="2">
        <v>46117</v>
      </c>
      <c r="C11" t="s">
        <v>17</v>
      </c>
      <c r="D11" t="s">
        <v>39</v>
      </c>
      <c r="E11" t="s">
        <v>28</v>
      </c>
      <c r="F11" t="s">
        <v>24</v>
      </c>
      <c r="G11">
        <v>4</v>
      </c>
      <c r="H11" s="3">
        <v>3620</v>
      </c>
      <c r="I11" s="3">
        <v>14480</v>
      </c>
      <c r="J11" s="3">
        <v>11420</v>
      </c>
      <c r="K11" s="3">
        <v>3060</v>
      </c>
    </row>
    <row r="12" spans="1:11">
      <c r="A12" t="s">
        <v>40</v>
      </c>
      <c r="B12" s="2">
        <v>46185</v>
      </c>
      <c r="C12" t="s">
        <v>12</v>
      </c>
      <c r="D12" t="s">
        <v>13</v>
      </c>
      <c r="E12" t="s">
        <v>41</v>
      </c>
      <c r="F12" t="s">
        <v>24</v>
      </c>
      <c r="G12">
        <v>4</v>
      </c>
      <c r="H12" s="3">
        <v>2330</v>
      </c>
      <c r="I12" s="3">
        <v>9320</v>
      </c>
      <c r="J12" s="3">
        <v>6630</v>
      </c>
      <c r="K12" s="3">
        <v>2690</v>
      </c>
    </row>
    <row r="13" spans="1:11">
      <c r="A13" t="s">
        <v>42</v>
      </c>
      <c r="B13" s="2">
        <v>46106</v>
      </c>
      <c r="C13" t="s">
        <v>21</v>
      </c>
      <c r="D13" t="s">
        <v>35</v>
      </c>
      <c r="E13" t="s">
        <v>43</v>
      </c>
      <c r="F13" t="s">
        <v>15</v>
      </c>
      <c r="G13">
        <v>4</v>
      </c>
      <c r="H13" s="3">
        <v>47900</v>
      </c>
      <c r="I13" s="3">
        <v>191600</v>
      </c>
      <c r="J13" s="3">
        <v>155810</v>
      </c>
      <c r="K13" s="3">
        <v>35790</v>
      </c>
    </row>
    <row r="14" spans="1:11">
      <c r="A14" t="s">
        <v>44</v>
      </c>
      <c r="B14" s="2">
        <v>46039</v>
      </c>
      <c r="C14" t="s">
        <v>21</v>
      </c>
      <c r="D14" t="s">
        <v>18</v>
      </c>
      <c r="E14" t="s">
        <v>37</v>
      </c>
      <c r="F14" t="s">
        <v>24</v>
      </c>
      <c r="G14">
        <v>6</v>
      </c>
      <c r="H14" s="3">
        <v>1130</v>
      </c>
      <c r="I14" s="3">
        <v>6780</v>
      </c>
      <c r="J14" s="3">
        <v>5020</v>
      </c>
      <c r="K14" s="3">
        <v>1760</v>
      </c>
    </row>
    <row r="15" spans="1:11">
      <c r="A15" t="s">
        <v>45</v>
      </c>
      <c r="B15" s="2">
        <v>46090</v>
      </c>
      <c r="C15" t="s">
        <v>21</v>
      </c>
      <c r="D15" t="s">
        <v>39</v>
      </c>
      <c r="E15" t="s">
        <v>41</v>
      </c>
      <c r="F15" t="s">
        <v>24</v>
      </c>
      <c r="G15">
        <v>4</v>
      </c>
      <c r="H15" s="3">
        <v>2620</v>
      </c>
      <c r="I15" s="3">
        <v>10480</v>
      </c>
      <c r="J15" s="3">
        <v>7850</v>
      </c>
      <c r="K15" s="3">
        <v>2630</v>
      </c>
    </row>
    <row r="16" spans="1:11">
      <c r="A16" t="s">
        <v>46</v>
      </c>
      <c r="B16" s="2">
        <v>46125</v>
      </c>
      <c r="C16" t="s">
        <v>21</v>
      </c>
      <c r="D16" t="s">
        <v>27</v>
      </c>
      <c r="E16" t="s">
        <v>28</v>
      </c>
      <c r="F16" t="s">
        <v>24</v>
      </c>
      <c r="G16">
        <v>4</v>
      </c>
      <c r="H16" s="3">
        <v>3850</v>
      </c>
      <c r="I16" s="3">
        <v>15400</v>
      </c>
      <c r="J16" s="3">
        <v>10060</v>
      </c>
      <c r="K16" s="3">
        <v>5340</v>
      </c>
    </row>
    <row r="17" spans="1:11">
      <c r="A17" t="s">
        <v>47</v>
      </c>
      <c r="B17" s="2">
        <v>46216</v>
      </c>
      <c r="C17" t="s">
        <v>21</v>
      </c>
      <c r="D17" t="s">
        <v>39</v>
      </c>
      <c r="E17" t="s">
        <v>43</v>
      </c>
      <c r="F17" t="s">
        <v>15</v>
      </c>
      <c r="G17">
        <v>2</v>
      </c>
      <c r="H17" s="3">
        <v>41880</v>
      </c>
      <c r="I17" s="3">
        <v>83760</v>
      </c>
      <c r="J17" s="3">
        <v>55150</v>
      </c>
      <c r="K17" s="3">
        <v>28610</v>
      </c>
    </row>
    <row r="18" spans="1:11">
      <c r="A18" t="s">
        <v>48</v>
      </c>
      <c r="B18" s="2">
        <v>46039</v>
      </c>
      <c r="C18" t="s">
        <v>26</v>
      </c>
      <c r="D18" t="s">
        <v>39</v>
      </c>
      <c r="E18" t="s">
        <v>30</v>
      </c>
      <c r="F18" t="s">
        <v>31</v>
      </c>
      <c r="G18">
        <v>7</v>
      </c>
      <c r="H18" s="3">
        <v>12230</v>
      </c>
      <c r="I18" s="3">
        <v>85610</v>
      </c>
      <c r="J18" s="3">
        <v>62690</v>
      </c>
      <c r="K18" s="3">
        <v>22920</v>
      </c>
    </row>
    <row r="19" spans="1:11">
      <c r="A19" t="s">
        <v>49</v>
      </c>
      <c r="B19" s="2">
        <v>46025</v>
      </c>
      <c r="C19" t="s">
        <v>26</v>
      </c>
      <c r="D19" t="s">
        <v>50</v>
      </c>
      <c r="E19" t="s">
        <v>14</v>
      </c>
      <c r="F19" t="s">
        <v>15</v>
      </c>
      <c r="G19">
        <v>5</v>
      </c>
      <c r="H19" s="3">
        <v>18970</v>
      </c>
      <c r="I19" s="3">
        <v>94850</v>
      </c>
      <c r="J19" s="3">
        <v>66550</v>
      </c>
      <c r="K19" s="3">
        <v>28300</v>
      </c>
    </row>
    <row r="20" spans="1:11">
      <c r="A20" t="s">
        <v>51</v>
      </c>
      <c r="B20" s="2">
        <v>46063</v>
      </c>
      <c r="C20" t="s">
        <v>26</v>
      </c>
      <c r="D20" t="s">
        <v>39</v>
      </c>
      <c r="E20" t="s">
        <v>33</v>
      </c>
      <c r="F20" t="s">
        <v>31</v>
      </c>
      <c r="G20">
        <v>1</v>
      </c>
      <c r="H20" s="3">
        <v>17450</v>
      </c>
      <c r="I20" s="3">
        <v>17450</v>
      </c>
      <c r="J20" s="3">
        <v>14490</v>
      </c>
      <c r="K20" s="3">
        <v>2960</v>
      </c>
    </row>
    <row r="21" spans="1:11">
      <c r="A21" t="s">
        <v>52</v>
      </c>
      <c r="B21" s="2">
        <v>46218</v>
      </c>
      <c r="C21" t="s">
        <v>12</v>
      </c>
      <c r="D21" t="s">
        <v>18</v>
      </c>
      <c r="E21" t="s">
        <v>41</v>
      </c>
      <c r="F21" t="s">
        <v>24</v>
      </c>
      <c r="G21">
        <v>2</v>
      </c>
      <c r="H21" s="3">
        <v>2690</v>
      </c>
      <c r="I21" s="3">
        <v>5380</v>
      </c>
      <c r="J21" s="3">
        <v>3720</v>
      </c>
      <c r="K21" s="3">
        <v>1660</v>
      </c>
    </row>
    <row r="22" spans="1:11">
      <c r="A22" t="s">
        <v>53</v>
      </c>
      <c r="B22" s="2">
        <v>46118</v>
      </c>
      <c r="C22" t="s">
        <v>17</v>
      </c>
      <c r="D22" t="s">
        <v>35</v>
      </c>
      <c r="E22" t="s">
        <v>41</v>
      </c>
      <c r="F22" t="s">
        <v>24</v>
      </c>
      <c r="G22">
        <v>1</v>
      </c>
      <c r="H22" s="3">
        <v>2550</v>
      </c>
      <c r="I22" s="3">
        <v>2550</v>
      </c>
      <c r="J22" s="3">
        <v>1880</v>
      </c>
      <c r="K22" s="3">
        <v>670</v>
      </c>
    </row>
    <row r="23" spans="1:11">
      <c r="A23" t="s">
        <v>54</v>
      </c>
      <c r="B23" s="2">
        <v>46229</v>
      </c>
      <c r="C23" t="s">
        <v>17</v>
      </c>
      <c r="D23" t="s">
        <v>27</v>
      </c>
      <c r="E23" t="s">
        <v>55</v>
      </c>
      <c r="F23" t="s">
        <v>15</v>
      </c>
      <c r="G23">
        <v>4</v>
      </c>
      <c r="H23" s="3">
        <v>13670</v>
      </c>
      <c r="I23" s="3">
        <v>54680</v>
      </c>
      <c r="J23" s="3">
        <v>45420</v>
      </c>
      <c r="K23" s="3">
        <v>9260</v>
      </c>
    </row>
    <row r="24" spans="1:11">
      <c r="A24" t="s">
        <v>56</v>
      </c>
      <c r="B24" s="2">
        <v>46210</v>
      </c>
      <c r="C24" t="s">
        <v>12</v>
      </c>
      <c r="D24" t="s">
        <v>18</v>
      </c>
      <c r="E24" t="s">
        <v>33</v>
      </c>
      <c r="F24" t="s">
        <v>31</v>
      </c>
      <c r="G24">
        <v>2</v>
      </c>
      <c r="H24" s="3">
        <v>17530</v>
      </c>
      <c r="I24" s="3">
        <v>35060</v>
      </c>
      <c r="J24" s="3">
        <v>26220</v>
      </c>
      <c r="K24" s="3">
        <v>8840</v>
      </c>
    </row>
    <row r="25" spans="1:11">
      <c r="A25" t="s">
        <v>57</v>
      </c>
      <c r="B25" s="2">
        <v>46191</v>
      </c>
      <c r="C25" t="s">
        <v>21</v>
      </c>
      <c r="D25" t="s">
        <v>18</v>
      </c>
      <c r="E25" t="s">
        <v>33</v>
      </c>
      <c r="F25" t="s">
        <v>31</v>
      </c>
      <c r="G25">
        <v>3</v>
      </c>
      <c r="H25" s="3">
        <v>15250</v>
      </c>
      <c r="I25" s="3">
        <v>45750</v>
      </c>
      <c r="J25" s="3">
        <v>37940</v>
      </c>
      <c r="K25" s="3">
        <v>7810</v>
      </c>
    </row>
    <row r="26" spans="1:11">
      <c r="A26" t="s">
        <v>58</v>
      </c>
      <c r="B26" s="2">
        <v>46161</v>
      </c>
      <c r="C26" t="s">
        <v>26</v>
      </c>
      <c r="D26" t="s">
        <v>50</v>
      </c>
      <c r="E26" t="s">
        <v>37</v>
      </c>
      <c r="F26" t="s">
        <v>24</v>
      </c>
      <c r="G26">
        <v>5</v>
      </c>
      <c r="H26" s="3">
        <v>1180</v>
      </c>
      <c r="I26" s="3">
        <v>5900</v>
      </c>
      <c r="J26" s="3">
        <v>4610</v>
      </c>
      <c r="K26" s="3">
        <v>1290</v>
      </c>
    </row>
    <row r="27" spans="1:11">
      <c r="A27" t="s">
        <v>59</v>
      </c>
      <c r="B27" s="2">
        <v>46155</v>
      </c>
      <c r="C27" t="s">
        <v>17</v>
      </c>
      <c r="D27" t="s">
        <v>39</v>
      </c>
      <c r="E27" t="s">
        <v>33</v>
      </c>
      <c r="F27" t="s">
        <v>31</v>
      </c>
      <c r="G27">
        <v>2</v>
      </c>
      <c r="H27" s="3">
        <v>15190</v>
      </c>
      <c r="I27" s="3">
        <v>30380</v>
      </c>
      <c r="J27" s="3">
        <v>19300</v>
      </c>
      <c r="K27" s="3">
        <v>11080</v>
      </c>
    </row>
    <row r="28" spans="1:11">
      <c r="A28" t="s">
        <v>60</v>
      </c>
      <c r="B28" s="2">
        <v>46164</v>
      </c>
      <c r="C28" t="s">
        <v>17</v>
      </c>
      <c r="D28" t="s">
        <v>18</v>
      </c>
      <c r="E28" t="s">
        <v>37</v>
      </c>
      <c r="F28" t="s">
        <v>24</v>
      </c>
      <c r="G28">
        <v>4</v>
      </c>
      <c r="H28" s="3">
        <v>1080</v>
      </c>
      <c r="I28" s="3">
        <v>4320</v>
      </c>
      <c r="J28" s="3">
        <v>3410</v>
      </c>
      <c r="K28" s="3">
        <v>910</v>
      </c>
    </row>
    <row r="29" spans="1:11">
      <c r="A29" t="s">
        <v>61</v>
      </c>
      <c r="B29" s="2">
        <v>46040</v>
      </c>
      <c r="C29" t="s">
        <v>21</v>
      </c>
      <c r="D29" t="s">
        <v>18</v>
      </c>
      <c r="E29" t="s">
        <v>43</v>
      </c>
      <c r="F29" t="s">
        <v>15</v>
      </c>
      <c r="G29">
        <v>6</v>
      </c>
      <c r="H29" s="3">
        <v>41140</v>
      </c>
      <c r="I29" s="3">
        <v>246840</v>
      </c>
      <c r="J29" s="3">
        <v>167140</v>
      </c>
      <c r="K29" s="3">
        <v>79700</v>
      </c>
    </row>
    <row r="30" spans="1:11">
      <c r="A30" t="s">
        <v>62</v>
      </c>
      <c r="B30" s="2">
        <v>46161</v>
      </c>
      <c r="C30" t="s">
        <v>21</v>
      </c>
      <c r="D30" t="s">
        <v>18</v>
      </c>
      <c r="E30" t="s">
        <v>41</v>
      </c>
      <c r="F30" t="s">
        <v>24</v>
      </c>
      <c r="G30">
        <v>8</v>
      </c>
      <c r="H30" s="3">
        <v>2370</v>
      </c>
      <c r="I30" s="3">
        <v>18960</v>
      </c>
      <c r="J30" s="3">
        <v>13910</v>
      </c>
      <c r="K30" s="3">
        <v>5050</v>
      </c>
    </row>
    <row r="31" spans="1:11">
      <c r="A31" t="s">
        <v>63</v>
      </c>
      <c r="B31" s="2">
        <v>46047</v>
      </c>
      <c r="C31" t="s">
        <v>17</v>
      </c>
      <c r="D31" t="s">
        <v>13</v>
      </c>
      <c r="E31" t="s">
        <v>14</v>
      </c>
      <c r="F31" t="s">
        <v>15</v>
      </c>
      <c r="G31">
        <v>7</v>
      </c>
      <c r="H31" s="3">
        <v>17480</v>
      </c>
      <c r="I31" s="3">
        <v>122360</v>
      </c>
      <c r="J31" s="3">
        <v>87940</v>
      </c>
      <c r="K31" s="3">
        <v>34420</v>
      </c>
    </row>
    <row r="32" spans="1:11">
      <c r="A32" t="s">
        <v>64</v>
      </c>
      <c r="B32" s="2">
        <v>46190</v>
      </c>
      <c r="C32" t="s">
        <v>17</v>
      </c>
      <c r="D32" t="s">
        <v>18</v>
      </c>
      <c r="E32" t="s">
        <v>14</v>
      </c>
      <c r="F32" t="s">
        <v>15</v>
      </c>
      <c r="G32">
        <v>1</v>
      </c>
      <c r="H32" s="3">
        <v>17650</v>
      </c>
      <c r="I32" s="3">
        <v>17650</v>
      </c>
      <c r="J32" s="3">
        <v>12380</v>
      </c>
      <c r="K32" s="3">
        <v>5270</v>
      </c>
    </row>
    <row r="33" spans="1:11">
      <c r="A33" t="s">
        <v>65</v>
      </c>
      <c r="B33" s="2">
        <v>46072</v>
      </c>
      <c r="C33" t="s">
        <v>21</v>
      </c>
      <c r="D33" t="s">
        <v>18</v>
      </c>
      <c r="E33" t="s">
        <v>37</v>
      </c>
      <c r="F33" t="s">
        <v>24</v>
      </c>
      <c r="G33">
        <v>8</v>
      </c>
      <c r="H33" s="3">
        <v>1110</v>
      </c>
      <c r="I33" s="3">
        <v>8880</v>
      </c>
      <c r="J33" s="3">
        <v>5900</v>
      </c>
      <c r="K33" s="3">
        <v>2980</v>
      </c>
    </row>
    <row r="34" spans="1:11">
      <c r="A34" t="s">
        <v>66</v>
      </c>
      <c r="B34" s="2">
        <v>46042</v>
      </c>
      <c r="C34" t="s">
        <v>17</v>
      </c>
      <c r="D34" t="s">
        <v>27</v>
      </c>
      <c r="E34" t="s">
        <v>33</v>
      </c>
      <c r="F34" t="s">
        <v>31</v>
      </c>
      <c r="G34">
        <v>2</v>
      </c>
      <c r="H34" s="3">
        <v>14560</v>
      </c>
      <c r="I34" s="3">
        <v>29120</v>
      </c>
      <c r="J34" s="3">
        <v>25040</v>
      </c>
      <c r="K34" s="3">
        <v>4080</v>
      </c>
    </row>
    <row r="35" spans="1:11">
      <c r="A35" t="s">
        <v>67</v>
      </c>
      <c r="B35" s="2">
        <v>46215</v>
      </c>
      <c r="C35" t="s">
        <v>21</v>
      </c>
      <c r="D35" t="s">
        <v>27</v>
      </c>
      <c r="E35" t="s">
        <v>37</v>
      </c>
      <c r="F35" t="s">
        <v>24</v>
      </c>
      <c r="G35">
        <v>3</v>
      </c>
      <c r="H35" s="3">
        <v>1180</v>
      </c>
      <c r="I35" s="3">
        <v>3540</v>
      </c>
      <c r="J35" s="3">
        <v>2600</v>
      </c>
      <c r="K35" s="3">
        <v>940</v>
      </c>
    </row>
    <row r="36" spans="1:11">
      <c r="A36" t="s">
        <v>68</v>
      </c>
      <c r="B36" s="2">
        <v>46065</v>
      </c>
      <c r="C36" t="s">
        <v>21</v>
      </c>
      <c r="D36" t="s">
        <v>35</v>
      </c>
      <c r="E36" t="s">
        <v>30</v>
      </c>
      <c r="F36" t="s">
        <v>31</v>
      </c>
      <c r="G36">
        <v>1</v>
      </c>
      <c r="H36" s="3">
        <v>13160</v>
      </c>
      <c r="I36" s="3">
        <v>13160</v>
      </c>
      <c r="J36" s="3">
        <v>9000</v>
      </c>
      <c r="K36" s="3">
        <v>4160</v>
      </c>
    </row>
    <row r="37" spans="1:11">
      <c r="A37" t="s">
        <v>69</v>
      </c>
      <c r="B37" s="2">
        <v>46131</v>
      </c>
      <c r="C37" t="s">
        <v>17</v>
      </c>
      <c r="D37" t="s">
        <v>39</v>
      </c>
      <c r="E37" t="s">
        <v>19</v>
      </c>
      <c r="F37" t="s">
        <v>15</v>
      </c>
      <c r="G37">
        <v>8</v>
      </c>
      <c r="H37" s="3">
        <v>26070</v>
      </c>
      <c r="I37" s="3">
        <v>208560</v>
      </c>
      <c r="J37" s="3">
        <v>144160</v>
      </c>
      <c r="K37" s="3">
        <v>64400</v>
      </c>
    </row>
    <row r="38" spans="1:11">
      <c r="A38" t="s">
        <v>70</v>
      </c>
      <c r="B38" s="2">
        <v>46211</v>
      </c>
      <c r="C38" t="s">
        <v>21</v>
      </c>
      <c r="D38" t="s">
        <v>39</v>
      </c>
      <c r="E38" t="s">
        <v>19</v>
      </c>
      <c r="F38" t="s">
        <v>15</v>
      </c>
      <c r="G38">
        <v>1</v>
      </c>
      <c r="H38" s="3">
        <v>29390</v>
      </c>
      <c r="I38" s="3">
        <v>29390</v>
      </c>
      <c r="J38" s="3">
        <v>18630</v>
      </c>
      <c r="K38" s="3">
        <v>10760</v>
      </c>
    </row>
    <row r="39" spans="1:11">
      <c r="A39" t="s">
        <v>71</v>
      </c>
      <c r="B39" s="2">
        <v>46158</v>
      </c>
      <c r="C39" t="s">
        <v>12</v>
      </c>
      <c r="D39" t="s">
        <v>27</v>
      </c>
      <c r="E39" t="s">
        <v>41</v>
      </c>
      <c r="F39" t="s">
        <v>24</v>
      </c>
      <c r="G39">
        <v>1</v>
      </c>
      <c r="H39" s="3">
        <v>2730</v>
      </c>
      <c r="I39" s="3">
        <v>2730</v>
      </c>
      <c r="J39" s="3">
        <v>1750</v>
      </c>
      <c r="K39" s="3">
        <v>980</v>
      </c>
    </row>
    <row r="40" spans="1:11">
      <c r="A40" t="s">
        <v>72</v>
      </c>
      <c r="B40" s="2">
        <v>46175</v>
      </c>
      <c r="C40" t="s">
        <v>12</v>
      </c>
      <c r="D40" t="s">
        <v>39</v>
      </c>
      <c r="E40" t="s">
        <v>14</v>
      </c>
      <c r="F40" t="s">
        <v>15</v>
      </c>
      <c r="G40">
        <v>4</v>
      </c>
      <c r="H40" s="3">
        <v>17650</v>
      </c>
      <c r="I40" s="3">
        <v>70600</v>
      </c>
      <c r="J40" s="3">
        <v>59730</v>
      </c>
      <c r="K40" s="3">
        <v>10870</v>
      </c>
    </row>
    <row r="41" spans="1:11">
      <c r="A41" t="s">
        <v>73</v>
      </c>
      <c r="B41" s="2">
        <v>46175</v>
      </c>
      <c r="C41" t="s">
        <v>26</v>
      </c>
      <c r="D41" t="s">
        <v>35</v>
      </c>
      <c r="E41" t="s">
        <v>43</v>
      </c>
      <c r="F41" t="s">
        <v>15</v>
      </c>
      <c r="G41">
        <v>2</v>
      </c>
      <c r="H41" s="3">
        <v>44270</v>
      </c>
      <c r="I41" s="3">
        <v>88540</v>
      </c>
      <c r="J41" s="3">
        <v>67300</v>
      </c>
      <c r="K41" s="3">
        <v>21240</v>
      </c>
    </row>
    <row r="42" spans="1:11">
      <c r="A42" t="s">
        <v>74</v>
      </c>
      <c r="B42" s="2">
        <v>46075</v>
      </c>
      <c r="C42" t="s">
        <v>26</v>
      </c>
      <c r="D42" t="s">
        <v>50</v>
      </c>
      <c r="E42" t="s">
        <v>28</v>
      </c>
      <c r="F42" t="s">
        <v>24</v>
      </c>
      <c r="G42">
        <v>4</v>
      </c>
      <c r="H42" s="3">
        <v>3340</v>
      </c>
      <c r="I42" s="3">
        <v>13360</v>
      </c>
      <c r="J42" s="3">
        <v>8700</v>
      </c>
      <c r="K42" s="3">
        <v>4660</v>
      </c>
    </row>
    <row r="43" spans="1:11">
      <c r="A43" t="s">
        <v>75</v>
      </c>
      <c r="B43" s="2">
        <v>46103</v>
      </c>
      <c r="C43" t="s">
        <v>17</v>
      </c>
      <c r="D43" t="s">
        <v>27</v>
      </c>
      <c r="E43" t="s">
        <v>14</v>
      </c>
      <c r="F43" t="s">
        <v>15</v>
      </c>
      <c r="G43">
        <v>1</v>
      </c>
      <c r="H43" s="3">
        <v>17850</v>
      </c>
      <c r="I43" s="3">
        <v>17850</v>
      </c>
      <c r="J43" s="3">
        <v>15340</v>
      </c>
      <c r="K43" s="3">
        <v>2510</v>
      </c>
    </row>
    <row r="44" spans="1:11">
      <c r="A44" t="s">
        <v>76</v>
      </c>
      <c r="B44" s="2">
        <v>46160</v>
      </c>
      <c r="C44" t="s">
        <v>17</v>
      </c>
      <c r="D44" t="s">
        <v>18</v>
      </c>
      <c r="E44" t="s">
        <v>37</v>
      </c>
      <c r="F44" t="s">
        <v>24</v>
      </c>
      <c r="G44">
        <v>5</v>
      </c>
      <c r="H44" s="3">
        <v>1110</v>
      </c>
      <c r="I44" s="3">
        <v>5550</v>
      </c>
      <c r="J44" s="3">
        <v>3910</v>
      </c>
      <c r="K44" s="3">
        <v>1640</v>
      </c>
    </row>
    <row r="45" spans="1:11">
      <c r="A45" t="s">
        <v>77</v>
      </c>
      <c r="B45" s="2">
        <v>46117</v>
      </c>
      <c r="C45" t="s">
        <v>26</v>
      </c>
      <c r="D45" t="s">
        <v>39</v>
      </c>
      <c r="E45" t="s">
        <v>55</v>
      </c>
      <c r="F45" t="s">
        <v>15</v>
      </c>
      <c r="G45">
        <v>3</v>
      </c>
      <c r="H45" s="3">
        <v>14810</v>
      </c>
      <c r="I45" s="3">
        <v>44430</v>
      </c>
      <c r="J45" s="3">
        <v>33340</v>
      </c>
      <c r="K45" s="3">
        <v>11090</v>
      </c>
    </row>
    <row r="46" spans="1:11">
      <c r="A46" t="s">
        <v>78</v>
      </c>
      <c r="B46" s="2">
        <v>46229</v>
      </c>
      <c r="C46" t="s">
        <v>17</v>
      </c>
      <c r="D46" t="s">
        <v>18</v>
      </c>
      <c r="E46" t="s">
        <v>19</v>
      </c>
      <c r="F46" t="s">
        <v>15</v>
      </c>
      <c r="G46">
        <v>1</v>
      </c>
      <c r="H46" s="3">
        <v>28940</v>
      </c>
      <c r="I46" s="3">
        <v>28940</v>
      </c>
      <c r="J46" s="3">
        <v>21790</v>
      </c>
      <c r="K46" s="3">
        <v>7150</v>
      </c>
    </row>
    <row r="47" spans="1:11">
      <c r="A47" t="s">
        <v>79</v>
      </c>
      <c r="B47" s="2">
        <v>46090</v>
      </c>
      <c r="C47" t="s">
        <v>26</v>
      </c>
      <c r="D47" t="s">
        <v>39</v>
      </c>
      <c r="E47" t="s">
        <v>14</v>
      </c>
      <c r="F47" t="s">
        <v>15</v>
      </c>
      <c r="G47">
        <v>2</v>
      </c>
      <c r="H47" s="3">
        <v>18870</v>
      </c>
      <c r="I47" s="3">
        <v>37740</v>
      </c>
      <c r="J47" s="3">
        <v>24810</v>
      </c>
      <c r="K47" s="3">
        <v>12930</v>
      </c>
    </row>
    <row r="48" spans="1:11">
      <c r="A48" t="s">
        <v>80</v>
      </c>
      <c r="B48" s="2">
        <v>46076</v>
      </c>
      <c r="C48" t="s">
        <v>21</v>
      </c>
      <c r="D48" t="s">
        <v>35</v>
      </c>
      <c r="E48" t="s">
        <v>28</v>
      </c>
      <c r="F48" t="s">
        <v>24</v>
      </c>
      <c r="G48">
        <v>4</v>
      </c>
      <c r="H48" s="3">
        <v>3630</v>
      </c>
      <c r="I48" s="3">
        <v>14520</v>
      </c>
      <c r="J48" s="3">
        <v>11970</v>
      </c>
      <c r="K48" s="3">
        <v>2550</v>
      </c>
    </row>
    <row r="49" spans="1:11">
      <c r="A49" t="s">
        <v>81</v>
      </c>
      <c r="B49" s="2">
        <v>46036</v>
      </c>
      <c r="C49" t="s">
        <v>26</v>
      </c>
      <c r="D49" t="s">
        <v>18</v>
      </c>
      <c r="E49" t="s">
        <v>14</v>
      </c>
      <c r="F49" t="s">
        <v>15</v>
      </c>
      <c r="G49">
        <v>7</v>
      </c>
      <c r="H49" s="3">
        <v>19190</v>
      </c>
      <c r="I49" s="3">
        <v>134330</v>
      </c>
      <c r="J49" s="3">
        <v>84710</v>
      </c>
      <c r="K49" s="3">
        <v>49620</v>
      </c>
    </row>
    <row r="50" spans="1:11">
      <c r="A50" t="s">
        <v>82</v>
      </c>
      <c r="B50" s="2">
        <v>46186</v>
      </c>
      <c r="C50" t="s">
        <v>21</v>
      </c>
      <c r="D50" t="s">
        <v>39</v>
      </c>
      <c r="E50" t="s">
        <v>55</v>
      </c>
      <c r="F50" t="s">
        <v>15</v>
      </c>
      <c r="G50">
        <v>3</v>
      </c>
      <c r="H50" s="3">
        <v>15720</v>
      </c>
      <c r="I50" s="3">
        <v>47160</v>
      </c>
      <c r="J50" s="3">
        <v>35480</v>
      </c>
      <c r="K50" s="3">
        <v>11680</v>
      </c>
    </row>
    <row r="51" spans="1:11">
      <c r="A51" t="s">
        <v>83</v>
      </c>
      <c r="B51" s="2">
        <v>46025</v>
      </c>
      <c r="C51" t="s">
        <v>12</v>
      </c>
      <c r="D51" t="s">
        <v>39</v>
      </c>
      <c r="E51" t="s">
        <v>14</v>
      </c>
      <c r="F51" t="s">
        <v>15</v>
      </c>
      <c r="G51">
        <v>2</v>
      </c>
      <c r="H51" s="3">
        <v>19600</v>
      </c>
      <c r="I51" s="3">
        <v>39200</v>
      </c>
      <c r="J51" s="3">
        <v>30810</v>
      </c>
      <c r="K51" s="3">
        <v>8390</v>
      </c>
    </row>
    <row r="52" spans="1:11">
      <c r="A52" t="s">
        <v>84</v>
      </c>
      <c r="B52" s="2">
        <v>46032</v>
      </c>
      <c r="C52" t="s">
        <v>26</v>
      </c>
      <c r="D52" t="s">
        <v>27</v>
      </c>
      <c r="E52" t="s">
        <v>28</v>
      </c>
      <c r="F52" t="s">
        <v>24</v>
      </c>
      <c r="G52">
        <v>3</v>
      </c>
      <c r="H52" s="3">
        <v>3450</v>
      </c>
      <c r="I52" s="3">
        <v>10350</v>
      </c>
      <c r="J52" s="3">
        <v>6520</v>
      </c>
      <c r="K52" s="3">
        <v>3830</v>
      </c>
    </row>
    <row r="53" spans="1:11">
      <c r="A53" t="s">
        <v>85</v>
      </c>
      <c r="B53" s="2">
        <v>46114</v>
      </c>
      <c r="C53" t="s">
        <v>21</v>
      </c>
      <c r="D53" t="s">
        <v>39</v>
      </c>
      <c r="E53" t="s">
        <v>37</v>
      </c>
      <c r="F53" t="s">
        <v>24</v>
      </c>
      <c r="G53">
        <v>4</v>
      </c>
      <c r="H53" s="3">
        <v>1240</v>
      </c>
      <c r="I53" s="3">
        <v>4960</v>
      </c>
      <c r="J53" s="3">
        <v>3500</v>
      </c>
      <c r="K53" s="3">
        <v>1460</v>
      </c>
    </row>
    <row r="54" spans="1:11">
      <c r="A54" t="s">
        <v>86</v>
      </c>
      <c r="B54" s="2">
        <v>46214</v>
      </c>
      <c r="C54" t="s">
        <v>12</v>
      </c>
      <c r="D54" t="s">
        <v>50</v>
      </c>
      <c r="E54" t="s">
        <v>41</v>
      </c>
      <c r="F54" t="s">
        <v>24</v>
      </c>
      <c r="G54">
        <v>4</v>
      </c>
      <c r="H54" s="3">
        <v>2680</v>
      </c>
      <c r="I54" s="3">
        <v>10720</v>
      </c>
      <c r="J54" s="3">
        <v>9160</v>
      </c>
      <c r="K54" s="3">
        <v>1560</v>
      </c>
    </row>
    <row r="55" spans="1:11">
      <c r="A55" t="s">
        <v>87</v>
      </c>
      <c r="B55" s="2">
        <v>46029</v>
      </c>
      <c r="C55" t="s">
        <v>12</v>
      </c>
      <c r="D55" t="s">
        <v>35</v>
      </c>
      <c r="E55" t="s">
        <v>41</v>
      </c>
      <c r="F55" t="s">
        <v>24</v>
      </c>
      <c r="G55">
        <v>6</v>
      </c>
      <c r="H55" s="3">
        <v>2640</v>
      </c>
      <c r="I55" s="3">
        <v>15840</v>
      </c>
      <c r="J55" s="3">
        <v>11390</v>
      </c>
      <c r="K55" s="3">
        <v>4450</v>
      </c>
    </row>
    <row r="56" spans="1:11">
      <c r="A56" t="s">
        <v>88</v>
      </c>
      <c r="B56" s="2">
        <v>46063</v>
      </c>
      <c r="C56" t="s">
        <v>12</v>
      </c>
      <c r="D56" t="s">
        <v>18</v>
      </c>
      <c r="E56" t="s">
        <v>14</v>
      </c>
      <c r="F56" t="s">
        <v>15</v>
      </c>
      <c r="G56">
        <v>7</v>
      </c>
      <c r="H56" s="3">
        <v>19340</v>
      </c>
      <c r="I56" s="3">
        <v>135380</v>
      </c>
      <c r="J56" s="3">
        <v>111830</v>
      </c>
      <c r="K56" s="3">
        <v>23550</v>
      </c>
    </row>
    <row r="57" spans="1:11">
      <c r="A57" t="s">
        <v>89</v>
      </c>
      <c r="B57" s="2">
        <v>46232</v>
      </c>
      <c r="C57" t="s">
        <v>12</v>
      </c>
      <c r="D57" t="s">
        <v>18</v>
      </c>
      <c r="E57" t="s">
        <v>33</v>
      </c>
      <c r="F57" t="s">
        <v>31</v>
      </c>
      <c r="G57">
        <v>6</v>
      </c>
      <c r="H57" s="3">
        <v>15380</v>
      </c>
      <c r="I57" s="3">
        <v>92280</v>
      </c>
      <c r="J57" s="3">
        <v>74830</v>
      </c>
      <c r="K57" s="3">
        <v>17450</v>
      </c>
    </row>
    <row r="58" spans="1:11">
      <c r="A58" t="s">
        <v>90</v>
      </c>
      <c r="B58" s="2">
        <v>46029</v>
      </c>
      <c r="C58" t="s">
        <v>26</v>
      </c>
      <c r="D58" t="s">
        <v>35</v>
      </c>
      <c r="E58" t="s">
        <v>37</v>
      </c>
      <c r="F58" t="s">
        <v>24</v>
      </c>
      <c r="G58">
        <v>7</v>
      </c>
      <c r="H58" s="3">
        <v>1160</v>
      </c>
      <c r="I58" s="3">
        <v>8120</v>
      </c>
      <c r="J58" s="3">
        <v>6720</v>
      </c>
      <c r="K58" s="3">
        <v>1400</v>
      </c>
    </row>
    <row r="59" spans="1:11">
      <c r="A59" t="s">
        <v>91</v>
      </c>
      <c r="B59" s="2">
        <v>46187</v>
      </c>
      <c r="C59" t="s">
        <v>26</v>
      </c>
      <c r="D59" t="s">
        <v>27</v>
      </c>
      <c r="E59" t="s">
        <v>19</v>
      </c>
      <c r="F59" t="s">
        <v>15</v>
      </c>
      <c r="G59">
        <v>7</v>
      </c>
      <c r="H59" s="3">
        <v>29010</v>
      </c>
      <c r="I59" s="3">
        <v>203070</v>
      </c>
      <c r="J59" s="3">
        <v>167020</v>
      </c>
      <c r="K59" s="3">
        <v>36050</v>
      </c>
    </row>
    <row r="60" spans="1:11">
      <c r="A60" t="s">
        <v>92</v>
      </c>
      <c r="B60" s="2">
        <v>46052</v>
      </c>
      <c r="C60" t="s">
        <v>17</v>
      </c>
      <c r="D60" t="s">
        <v>27</v>
      </c>
      <c r="E60" t="s">
        <v>55</v>
      </c>
      <c r="F60" t="s">
        <v>15</v>
      </c>
      <c r="G60">
        <v>3</v>
      </c>
      <c r="H60" s="3">
        <v>15240</v>
      </c>
      <c r="I60" s="3">
        <v>45720</v>
      </c>
      <c r="J60" s="3">
        <v>39140</v>
      </c>
      <c r="K60" s="3">
        <v>6580</v>
      </c>
    </row>
    <row r="61" spans="1:11">
      <c r="A61" t="s">
        <v>93</v>
      </c>
      <c r="B61" s="2">
        <v>46175</v>
      </c>
      <c r="C61" t="s">
        <v>17</v>
      </c>
      <c r="D61" t="s">
        <v>50</v>
      </c>
      <c r="E61" t="s">
        <v>30</v>
      </c>
      <c r="F61" t="s">
        <v>31</v>
      </c>
      <c r="G61">
        <v>6</v>
      </c>
      <c r="H61" s="3">
        <v>12550</v>
      </c>
      <c r="I61" s="3">
        <v>75300</v>
      </c>
      <c r="J61" s="3">
        <v>52350</v>
      </c>
      <c r="K61" s="3">
        <v>22950</v>
      </c>
    </row>
    <row r="62" spans="1:11">
      <c r="A62" t="s">
        <v>94</v>
      </c>
      <c r="B62" s="2">
        <v>46170</v>
      </c>
      <c r="C62" t="s">
        <v>12</v>
      </c>
      <c r="D62" t="s">
        <v>35</v>
      </c>
      <c r="E62" t="s">
        <v>37</v>
      </c>
      <c r="F62" t="s">
        <v>24</v>
      </c>
      <c r="G62">
        <v>5</v>
      </c>
      <c r="H62" s="3">
        <v>1090</v>
      </c>
      <c r="I62" s="3">
        <v>5450</v>
      </c>
      <c r="J62" s="3">
        <v>3950</v>
      </c>
      <c r="K62" s="3">
        <v>1500</v>
      </c>
    </row>
    <row r="63" spans="1:11">
      <c r="A63" t="s">
        <v>95</v>
      </c>
      <c r="B63" s="2">
        <v>46133</v>
      </c>
      <c r="C63" t="s">
        <v>17</v>
      </c>
      <c r="D63" t="s">
        <v>13</v>
      </c>
      <c r="E63" t="s">
        <v>14</v>
      </c>
      <c r="F63" t="s">
        <v>15</v>
      </c>
      <c r="G63">
        <v>6</v>
      </c>
      <c r="H63" s="3">
        <v>18440</v>
      </c>
      <c r="I63" s="3">
        <v>110640</v>
      </c>
      <c r="J63" s="3">
        <v>86210</v>
      </c>
      <c r="K63" s="3">
        <v>24430</v>
      </c>
    </row>
    <row r="64" spans="1:11">
      <c r="A64" t="s">
        <v>96</v>
      </c>
      <c r="B64" s="2">
        <v>46099</v>
      </c>
      <c r="C64" t="s">
        <v>26</v>
      </c>
      <c r="D64" t="s">
        <v>39</v>
      </c>
      <c r="E64" t="s">
        <v>19</v>
      </c>
      <c r="F64" t="s">
        <v>15</v>
      </c>
      <c r="G64">
        <v>5</v>
      </c>
      <c r="H64" s="3">
        <v>28930</v>
      </c>
      <c r="I64" s="3">
        <v>144650</v>
      </c>
      <c r="J64" s="3">
        <v>101010</v>
      </c>
      <c r="K64" s="3">
        <v>43640</v>
      </c>
    </row>
    <row r="65" spans="1:11">
      <c r="A65" t="s">
        <v>97</v>
      </c>
      <c r="B65" s="2">
        <v>46055</v>
      </c>
      <c r="C65" t="s">
        <v>12</v>
      </c>
      <c r="D65" t="s">
        <v>39</v>
      </c>
      <c r="E65" t="s">
        <v>37</v>
      </c>
      <c r="F65" t="s">
        <v>24</v>
      </c>
      <c r="G65">
        <v>7</v>
      </c>
      <c r="H65" s="3">
        <v>1240</v>
      </c>
      <c r="I65" s="3">
        <v>8680</v>
      </c>
      <c r="J65" s="3">
        <v>6170</v>
      </c>
      <c r="K65" s="3">
        <v>2510</v>
      </c>
    </row>
    <row r="66" spans="1:11">
      <c r="A66" t="s">
        <v>98</v>
      </c>
      <c r="B66" s="2">
        <v>46168</v>
      </c>
      <c r="C66" t="s">
        <v>26</v>
      </c>
      <c r="D66" t="s">
        <v>18</v>
      </c>
      <c r="E66" t="s">
        <v>55</v>
      </c>
      <c r="F66" t="s">
        <v>15</v>
      </c>
      <c r="G66">
        <v>7</v>
      </c>
      <c r="H66" s="3">
        <v>15140</v>
      </c>
      <c r="I66" s="3">
        <v>105980</v>
      </c>
      <c r="J66" s="3">
        <v>65720</v>
      </c>
      <c r="K66" s="3">
        <v>40260</v>
      </c>
    </row>
    <row r="67" spans="1:11">
      <c r="A67" t="s">
        <v>99</v>
      </c>
      <c r="B67" s="2">
        <v>46133</v>
      </c>
      <c r="C67" t="s">
        <v>12</v>
      </c>
      <c r="D67" t="s">
        <v>39</v>
      </c>
      <c r="E67" t="s">
        <v>23</v>
      </c>
      <c r="F67" t="s">
        <v>24</v>
      </c>
      <c r="G67">
        <v>6</v>
      </c>
      <c r="H67" s="3">
        <v>4470</v>
      </c>
      <c r="I67" s="3">
        <v>26820</v>
      </c>
      <c r="J67" s="3">
        <v>19470</v>
      </c>
      <c r="K67" s="3">
        <v>7350</v>
      </c>
    </row>
    <row r="68" spans="1:11">
      <c r="A68" t="s">
        <v>100</v>
      </c>
      <c r="B68" s="2">
        <v>46144</v>
      </c>
      <c r="C68" t="s">
        <v>26</v>
      </c>
      <c r="D68" t="s">
        <v>27</v>
      </c>
      <c r="E68" t="s">
        <v>41</v>
      </c>
      <c r="F68" t="s">
        <v>24</v>
      </c>
      <c r="G68">
        <v>2</v>
      </c>
      <c r="H68" s="3">
        <v>2390</v>
      </c>
      <c r="I68" s="3">
        <v>4780</v>
      </c>
      <c r="J68" s="3">
        <v>3730</v>
      </c>
      <c r="K68" s="3">
        <v>1050</v>
      </c>
    </row>
    <row r="69" spans="1:11">
      <c r="A69" t="s">
        <v>101</v>
      </c>
      <c r="B69" s="2">
        <v>46232</v>
      </c>
      <c r="C69" t="s">
        <v>17</v>
      </c>
      <c r="D69" t="s">
        <v>27</v>
      </c>
      <c r="E69" t="s">
        <v>37</v>
      </c>
      <c r="F69" t="s">
        <v>24</v>
      </c>
      <c r="G69">
        <v>5</v>
      </c>
      <c r="H69" s="3">
        <v>1130</v>
      </c>
      <c r="I69" s="3">
        <v>5650</v>
      </c>
      <c r="J69" s="3">
        <v>3770</v>
      </c>
      <c r="K69" s="3">
        <v>1880</v>
      </c>
    </row>
    <row r="70" spans="1:11">
      <c r="A70" t="s">
        <v>102</v>
      </c>
      <c r="B70" s="2">
        <v>46085</v>
      </c>
      <c r="C70" t="s">
        <v>12</v>
      </c>
      <c r="D70" t="s">
        <v>13</v>
      </c>
      <c r="E70" t="s">
        <v>33</v>
      </c>
      <c r="F70" t="s">
        <v>31</v>
      </c>
      <c r="G70">
        <v>2</v>
      </c>
      <c r="H70" s="3">
        <v>15860</v>
      </c>
      <c r="I70" s="3">
        <v>31720</v>
      </c>
      <c r="J70" s="3">
        <v>26410</v>
      </c>
      <c r="K70" s="3">
        <v>5310</v>
      </c>
    </row>
    <row r="71" spans="1:11">
      <c r="A71" t="s">
        <v>103</v>
      </c>
      <c r="B71" s="2">
        <v>46201</v>
      </c>
      <c r="C71" t="s">
        <v>17</v>
      </c>
      <c r="D71" t="s">
        <v>27</v>
      </c>
      <c r="E71" t="s">
        <v>30</v>
      </c>
      <c r="F71" t="s">
        <v>31</v>
      </c>
      <c r="G71">
        <v>8</v>
      </c>
      <c r="H71" s="3">
        <v>11760</v>
      </c>
      <c r="I71" s="3">
        <v>94080</v>
      </c>
      <c r="J71" s="3">
        <v>61660</v>
      </c>
      <c r="K71" s="3">
        <v>32420</v>
      </c>
    </row>
    <row r="72" spans="1:11">
      <c r="A72" t="s">
        <v>104</v>
      </c>
      <c r="B72" s="2">
        <v>46222</v>
      </c>
      <c r="C72" t="s">
        <v>21</v>
      </c>
      <c r="D72" t="s">
        <v>27</v>
      </c>
      <c r="E72" t="s">
        <v>30</v>
      </c>
      <c r="F72" t="s">
        <v>31</v>
      </c>
      <c r="G72">
        <v>4</v>
      </c>
      <c r="H72" s="3">
        <v>11220</v>
      </c>
      <c r="I72" s="3">
        <v>44880</v>
      </c>
      <c r="J72" s="3">
        <v>38140</v>
      </c>
      <c r="K72" s="3">
        <v>6740</v>
      </c>
    </row>
    <row r="73" spans="1:11">
      <c r="A73" t="s">
        <v>105</v>
      </c>
      <c r="B73" s="2">
        <v>46165</v>
      </c>
      <c r="C73" t="s">
        <v>26</v>
      </c>
      <c r="D73" t="s">
        <v>50</v>
      </c>
      <c r="E73" t="s">
        <v>37</v>
      </c>
      <c r="F73" t="s">
        <v>24</v>
      </c>
      <c r="G73">
        <v>2</v>
      </c>
      <c r="H73" s="3">
        <v>1190</v>
      </c>
      <c r="I73" s="3">
        <v>2380</v>
      </c>
      <c r="J73" s="3">
        <v>1930</v>
      </c>
      <c r="K73" s="3">
        <v>450</v>
      </c>
    </row>
    <row r="74" spans="1:11">
      <c r="A74" t="s">
        <v>106</v>
      </c>
      <c r="B74" s="2">
        <v>46179</v>
      </c>
      <c r="C74" t="s">
        <v>12</v>
      </c>
      <c r="D74" t="s">
        <v>13</v>
      </c>
      <c r="E74" t="s">
        <v>19</v>
      </c>
      <c r="F74" t="s">
        <v>15</v>
      </c>
      <c r="G74">
        <v>7</v>
      </c>
      <c r="H74" s="3">
        <v>29850</v>
      </c>
      <c r="I74" s="3">
        <v>208950</v>
      </c>
      <c r="J74" s="3">
        <v>157020</v>
      </c>
      <c r="K74" s="3">
        <v>51930</v>
      </c>
    </row>
    <row r="75" spans="1:11">
      <c r="A75" t="s">
        <v>107</v>
      </c>
      <c r="B75" s="2">
        <v>46144</v>
      </c>
      <c r="C75" t="s">
        <v>26</v>
      </c>
      <c r="D75" t="s">
        <v>39</v>
      </c>
      <c r="E75" t="s">
        <v>33</v>
      </c>
      <c r="F75" t="s">
        <v>31</v>
      </c>
      <c r="G75">
        <v>5</v>
      </c>
      <c r="H75" s="3">
        <v>16810</v>
      </c>
      <c r="I75" s="3">
        <v>84050</v>
      </c>
      <c r="J75" s="3">
        <v>69050</v>
      </c>
      <c r="K75" s="3">
        <v>15000</v>
      </c>
    </row>
    <row r="76" spans="1:11">
      <c r="A76" t="s">
        <v>108</v>
      </c>
      <c r="B76" s="2">
        <v>46147</v>
      </c>
      <c r="C76" t="s">
        <v>12</v>
      </c>
      <c r="D76" t="s">
        <v>35</v>
      </c>
      <c r="E76" t="s">
        <v>37</v>
      </c>
      <c r="F76" t="s">
        <v>24</v>
      </c>
      <c r="G76">
        <v>5</v>
      </c>
      <c r="H76" s="3">
        <v>1190</v>
      </c>
      <c r="I76" s="3">
        <v>5950</v>
      </c>
      <c r="J76" s="3">
        <v>4710</v>
      </c>
      <c r="K76" s="3">
        <v>1240</v>
      </c>
    </row>
    <row r="77" spans="1:11">
      <c r="A77" t="s">
        <v>109</v>
      </c>
      <c r="B77" s="2">
        <v>46108</v>
      </c>
      <c r="C77" t="s">
        <v>12</v>
      </c>
      <c r="D77" t="s">
        <v>13</v>
      </c>
      <c r="E77" t="s">
        <v>28</v>
      </c>
      <c r="F77" t="s">
        <v>24</v>
      </c>
      <c r="G77">
        <v>2</v>
      </c>
      <c r="H77" s="3">
        <v>3250</v>
      </c>
      <c r="I77" s="3">
        <v>6500</v>
      </c>
      <c r="J77" s="3">
        <v>4390</v>
      </c>
      <c r="K77" s="3">
        <v>2110</v>
      </c>
    </row>
    <row r="78" spans="1:11">
      <c r="A78" t="s">
        <v>110</v>
      </c>
      <c r="B78" s="2">
        <v>46077</v>
      </c>
      <c r="C78" t="s">
        <v>21</v>
      </c>
      <c r="D78" t="s">
        <v>27</v>
      </c>
      <c r="E78" t="s">
        <v>14</v>
      </c>
      <c r="F78" t="s">
        <v>15</v>
      </c>
      <c r="G78">
        <v>7</v>
      </c>
      <c r="H78" s="3">
        <v>17670</v>
      </c>
      <c r="I78" s="3">
        <v>123690</v>
      </c>
      <c r="J78" s="3">
        <v>92800</v>
      </c>
      <c r="K78" s="3">
        <v>30890</v>
      </c>
    </row>
    <row r="79" spans="1:11">
      <c r="A79" t="s">
        <v>111</v>
      </c>
      <c r="B79" s="2">
        <v>46075</v>
      </c>
      <c r="C79" t="s">
        <v>17</v>
      </c>
      <c r="D79" t="s">
        <v>39</v>
      </c>
      <c r="E79" t="s">
        <v>30</v>
      </c>
      <c r="F79" t="s">
        <v>31</v>
      </c>
      <c r="G79">
        <v>7</v>
      </c>
      <c r="H79" s="3">
        <v>12970</v>
      </c>
      <c r="I79" s="3">
        <v>90790</v>
      </c>
      <c r="J79" s="3">
        <v>69020</v>
      </c>
      <c r="K79" s="3">
        <v>21770</v>
      </c>
    </row>
    <row r="80" spans="1:11">
      <c r="A80" t="s">
        <v>112</v>
      </c>
      <c r="B80" s="2">
        <v>46120</v>
      </c>
      <c r="C80" t="s">
        <v>21</v>
      </c>
      <c r="D80" t="s">
        <v>50</v>
      </c>
      <c r="E80" t="s">
        <v>33</v>
      </c>
      <c r="F80" t="s">
        <v>31</v>
      </c>
      <c r="G80">
        <v>1</v>
      </c>
      <c r="H80" s="3">
        <v>17420</v>
      </c>
      <c r="I80" s="3">
        <v>17420</v>
      </c>
      <c r="J80" s="3">
        <v>12050</v>
      </c>
      <c r="K80" s="3">
        <v>5370</v>
      </c>
    </row>
    <row r="81" spans="1:11">
      <c r="A81" t="s">
        <v>113</v>
      </c>
      <c r="B81" s="2">
        <v>46160</v>
      </c>
      <c r="C81" t="s">
        <v>21</v>
      </c>
      <c r="D81" t="s">
        <v>27</v>
      </c>
      <c r="E81" t="s">
        <v>19</v>
      </c>
      <c r="F81" t="s">
        <v>15</v>
      </c>
      <c r="G81">
        <v>4</v>
      </c>
      <c r="H81" s="3">
        <v>27930</v>
      </c>
      <c r="I81" s="3">
        <v>111720</v>
      </c>
      <c r="J81" s="3">
        <v>76580</v>
      </c>
      <c r="K81" s="3">
        <v>35140</v>
      </c>
    </row>
    <row r="82" spans="1:11">
      <c r="A82" t="s">
        <v>114</v>
      </c>
      <c r="B82" s="2">
        <v>46122</v>
      </c>
      <c r="C82" t="s">
        <v>12</v>
      </c>
      <c r="D82" t="s">
        <v>39</v>
      </c>
      <c r="E82" t="s">
        <v>28</v>
      </c>
      <c r="F82" t="s">
        <v>24</v>
      </c>
      <c r="G82">
        <v>7</v>
      </c>
      <c r="H82" s="3">
        <v>3660</v>
      </c>
      <c r="I82" s="3">
        <v>25620</v>
      </c>
      <c r="J82" s="3">
        <v>21050</v>
      </c>
      <c r="K82" s="3">
        <v>4570</v>
      </c>
    </row>
    <row r="83" spans="1:11">
      <c r="A83" t="s">
        <v>115</v>
      </c>
      <c r="B83" s="2">
        <v>46159</v>
      </c>
      <c r="C83" t="s">
        <v>17</v>
      </c>
      <c r="D83" t="s">
        <v>13</v>
      </c>
      <c r="E83" t="s">
        <v>43</v>
      </c>
      <c r="F83" t="s">
        <v>15</v>
      </c>
      <c r="G83">
        <v>7</v>
      </c>
      <c r="H83" s="3">
        <v>45830</v>
      </c>
      <c r="I83" s="3">
        <v>320810</v>
      </c>
      <c r="J83" s="3">
        <v>249950</v>
      </c>
      <c r="K83" s="3">
        <v>70860</v>
      </c>
    </row>
    <row r="84" spans="1:11">
      <c r="A84" t="s">
        <v>116</v>
      </c>
      <c r="B84" s="2">
        <v>46132</v>
      </c>
      <c r="C84" t="s">
        <v>26</v>
      </c>
      <c r="D84" t="s">
        <v>18</v>
      </c>
      <c r="E84" t="s">
        <v>41</v>
      </c>
      <c r="F84" t="s">
        <v>24</v>
      </c>
      <c r="G84">
        <v>8</v>
      </c>
      <c r="H84" s="3">
        <v>2340</v>
      </c>
      <c r="I84" s="3">
        <v>18720</v>
      </c>
      <c r="J84" s="3">
        <v>12780</v>
      </c>
      <c r="K84" s="3">
        <v>5940</v>
      </c>
    </row>
    <row r="85" spans="1:11">
      <c r="A85" t="s">
        <v>117</v>
      </c>
      <c r="B85" s="2">
        <v>46139</v>
      </c>
      <c r="C85" t="s">
        <v>21</v>
      </c>
      <c r="D85" t="s">
        <v>35</v>
      </c>
      <c r="E85" t="s">
        <v>28</v>
      </c>
      <c r="F85" t="s">
        <v>24</v>
      </c>
      <c r="G85">
        <v>6</v>
      </c>
      <c r="H85" s="3">
        <v>3680</v>
      </c>
      <c r="I85" s="3">
        <v>22080</v>
      </c>
      <c r="J85" s="3">
        <v>15700</v>
      </c>
      <c r="K85" s="3">
        <v>6380</v>
      </c>
    </row>
    <row r="86" spans="1:11">
      <c r="A86" t="s">
        <v>118</v>
      </c>
      <c r="B86" s="2">
        <v>46043</v>
      </c>
      <c r="C86" t="s">
        <v>26</v>
      </c>
      <c r="D86" t="s">
        <v>18</v>
      </c>
      <c r="E86" t="s">
        <v>33</v>
      </c>
      <c r="F86" t="s">
        <v>31</v>
      </c>
      <c r="G86">
        <v>1</v>
      </c>
      <c r="H86" s="3">
        <v>16800</v>
      </c>
      <c r="I86" s="3">
        <v>16800</v>
      </c>
      <c r="J86" s="3">
        <v>10630</v>
      </c>
      <c r="K86" s="3">
        <v>6170</v>
      </c>
    </row>
    <row r="87" spans="1:11">
      <c r="A87" t="s">
        <v>119</v>
      </c>
      <c r="B87" s="2">
        <v>46189</v>
      </c>
      <c r="C87" t="s">
        <v>12</v>
      </c>
      <c r="D87" t="s">
        <v>27</v>
      </c>
      <c r="E87" t="s">
        <v>14</v>
      </c>
      <c r="F87" t="s">
        <v>15</v>
      </c>
      <c r="G87">
        <v>1</v>
      </c>
      <c r="H87" s="3">
        <v>18920</v>
      </c>
      <c r="I87" s="3">
        <v>18920</v>
      </c>
      <c r="J87" s="3">
        <v>16040</v>
      </c>
      <c r="K87" s="3">
        <v>2880</v>
      </c>
    </row>
    <row r="88" spans="1:11">
      <c r="A88" t="s">
        <v>120</v>
      </c>
      <c r="B88" s="2">
        <v>46182</v>
      </c>
      <c r="C88" t="s">
        <v>12</v>
      </c>
      <c r="D88" t="s">
        <v>50</v>
      </c>
      <c r="E88" t="s">
        <v>41</v>
      </c>
      <c r="F88" t="s">
        <v>24</v>
      </c>
      <c r="G88">
        <v>4</v>
      </c>
      <c r="H88" s="3">
        <v>2310</v>
      </c>
      <c r="I88" s="3">
        <v>9240</v>
      </c>
      <c r="J88" s="3">
        <v>7210</v>
      </c>
      <c r="K88" s="3">
        <v>2030</v>
      </c>
    </row>
    <row r="89" spans="1:11">
      <c r="A89" t="s">
        <v>121</v>
      </c>
      <c r="B89" s="2">
        <v>46202</v>
      </c>
      <c r="C89" t="s">
        <v>17</v>
      </c>
      <c r="D89" t="s">
        <v>18</v>
      </c>
      <c r="E89" t="s">
        <v>55</v>
      </c>
      <c r="F89" t="s">
        <v>15</v>
      </c>
      <c r="G89">
        <v>6</v>
      </c>
      <c r="H89" s="3">
        <v>14000</v>
      </c>
      <c r="I89" s="3">
        <v>84000</v>
      </c>
      <c r="J89" s="3">
        <v>64320</v>
      </c>
      <c r="K89" s="3">
        <v>19680</v>
      </c>
    </row>
    <row r="90" spans="1:11">
      <c r="A90" t="s">
        <v>122</v>
      </c>
      <c r="B90" s="2">
        <v>46102</v>
      </c>
      <c r="C90" t="s">
        <v>21</v>
      </c>
      <c r="D90" t="s">
        <v>50</v>
      </c>
      <c r="E90" t="s">
        <v>14</v>
      </c>
      <c r="F90" t="s">
        <v>15</v>
      </c>
      <c r="G90">
        <v>1</v>
      </c>
      <c r="H90" s="3">
        <v>19540</v>
      </c>
      <c r="I90" s="3">
        <v>19540</v>
      </c>
      <c r="J90" s="3">
        <v>14820</v>
      </c>
      <c r="K90" s="3">
        <v>4720</v>
      </c>
    </row>
    <row r="91" spans="1:11">
      <c r="A91" t="s">
        <v>123</v>
      </c>
      <c r="B91" s="2">
        <v>46206</v>
      </c>
      <c r="C91" t="s">
        <v>12</v>
      </c>
      <c r="D91" t="s">
        <v>27</v>
      </c>
      <c r="E91" t="s">
        <v>37</v>
      </c>
      <c r="F91" t="s">
        <v>24</v>
      </c>
      <c r="G91">
        <v>2</v>
      </c>
      <c r="H91" s="3">
        <v>1220</v>
      </c>
      <c r="I91" s="3">
        <v>2440</v>
      </c>
      <c r="J91" s="3">
        <v>2000</v>
      </c>
      <c r="K91" s="3">
        <v>440</v>
      </c>
    </row>
    <row r="92" spans="1:11">
      <c r="A92" t="s">
        <v>124</v>
      </c>
      <c r="B92" s="2">
        <v>46201</v>
      </c>
      <c r="C92" t="s">
        <v>17</v>
      </c>
      <c r="D92" t="s">
        <v>35</v>
      </c>
      <c r="E92" t="s">
        <v>55</v>
      </c>
      <c r="F92" t="s">
        <v>15</v>
      </c>
      <c r="G92">
        <v>2</v>
      </c>
      <c r="H92" s="3">
        <v>15890</v>
      </c>
      <c r="I92" s="3">
        <v>31780</v>
      </c>
      <c r="J92" s="3">
        <v>24020</v>
      </c>
      <c r="K92" s="3">
        <v>7760</v>
      </c>
    </row>
    <row r="93" spans="1:11">
      <c r="A93" t="s">
        <v>125</v>
      </c>
      <c r="B93" s="2">
        <v>46159</v>
      </c>
      <c r="C93" t="s">
        <v>17</v>
      </c>
      <c r="D93" t="s">
        <v>50</v>
      </c>
      <c r="E93" t="s">
        <v>30</v>
      </c>
      <c r="F93" t="s">
        <v>31</v>
      </c>
      <c r="G93">
        <v>6</v>
      </c>
      <c r="H93" s="3">
        <v>10970</v>
      </c>
      <c r="I93" s="3">
        <v>65820</v>
      </c>
      <c r="J93" s="3">
        <v>51040</v>
      </c>
      <c r="K93" s="3">
        <v>14780</v>
      </c>
    </row>
    <row r="94" spans="1:11">
      <c r="A94" t="s">
        <v>126</v>
      </c>
      <c r="B94" s="2">
        <v>46233</v>
      </c>
      <c r="C94" t="s">
        <v>21</v>
      </c>
      <c r="D94" t="s">
        <v>13</v>
      </c>
      <c r="E94" t="s">
        <v>33</v>
      </c>
      <c r="F94" t="s">
        <v>31</v>
      </c>
      <c r="G94">
        <v>2</v>
      </c>
      <c r="H94" s="3">
        <v>15790</v>
      </c>
      <c r="I94" s="3">
        <v>31580</v>
      </c>
      <c r="J94" s="3">
        <v>22320</v>
      </c>
      <c r="K94" s="3">
        <v>9260</v>
      </c>
    </row>
    <row r="95" spans="1:11">
      <c r="A95" t="s">
        <v>127</v>
      </c>
      <c r="B95" s="2">
        <v>46062</v>
      </c>
      <c r="C95" t="s">
        <v>26</v>
      </c>
      <c r="D95" t="s">
        <v>39</v>
      </c>
      <c r="E95" t="s">
        <v>30</v>
      </c>
      <c r="F95" t="s">
        <v>31</v>
      </c>
      <c r="G95">
        <v>3</v>
      </c>
      <c r="H95" s="3">
        <v>12560</v>
      </c>
      <c r="I95" s="3">
        <v>37680</v>
      </c>
      <c r="J95" s="3">
        <v>32090</v>
      </c>
      <c r="K95" s="3">
        <v>5590</v>
      </c>
    </row>
    <row r="96" spans="1:11">
      <c r="A96" t="s">
        <v>128</v>
      </c>
      <c r="B96" s="2">
        <v>46229</v>
      </c>
      <c r="C96" t="s">
        <v>26</v>
      </c>
      <c r="D96" t="s">
        <v>35</v>
      </c>
      <c r="E96" t="s">
        <v>19</v>
      </c>
      <c r="F96" t="s">
        <v>15</v>
      </c>
      <c r="G96">
        <v>8</v>
      </c>
      <c r="H96" s="3">
        <v>27800</v>
      </c>
      <c r="I96" s="3">
        <v>222400</v>
      </c>
      <c r="J96" s="3">
        <v>181960</v>
      </c>
      <c r="K96" s="3">
        <v>40440</v>
      </c>
    </row>
    <row r="97" spans="1:11">
      <c r="A97" t="s">
        <v>129</v>
      </c>
      <c r="B97" s="2">
        <v>46085</v>
      </c>
      <c r="C97" t="s">
        <v>21</v>
      </c>
      <c r="D97" t="s">
        <v>39</v>
      </c>
      <c r="E97" t="s">
        <v>14</v>
      </c>
      <c r="F97" t="s">
        <v>15</v>
      </c>
      <c r="G97">
        <v>5</v>
      </c>
      <c r="H97" s="3">
        <v>19370</v>
      </c>
      <c r="I97" s="3">
        <v>96850</v>
      </c>
      <c r="J97" s="3">
        <v>65720</v>
      </c>
      <c r="K97" s="3">
        <v>31130</v>
      </c>
    </row>
    <row r="98" spans="1:11">
      <c r="A98" t="s">
        <v>130</v>
      </c>
      <c r="B98" s="2">
        <v>46179</v>
      </c>
      <c r="C98" t="s">
        <v>12</v>
      </c>
      <c r="D98" t="s">
        <v>50</v>
      </c>
      <c r="E98" t="s">
        <v>30</v>
      </c>
      <c r="F98" t="s">
        <v>31</v>
      </c>
      <c r="G98">
        <v>6</v>
      </c>
      <c r="H98" s="3">
        <v>10870</v>
      </c>
      <c r="I98" s="3">
        <v>65220</v>
      </c>
      <c r="J98" s="3">
        <v>53760</v>
      </c>
      <c r="K98" s="3">
        <v>11460</v>
      </c>
    </row>
    <row r="99" spans="1:11">
      <c r="A99" t="s">
        <v>131</v>
      </c>
      <c r="B99" s="2">
        <v>46077</v>
      </c>
      <c r="C99" t="s">
        <v>26</v>
      </c>
      <c r="D99" t="s">
        <v>39</v>
      </c>
      <c r="E99" t="s">
        <v>28</v>
      </c>
      <c r="F99" t="s">
        <v>24</v>
      </c>
      <c r="G99">
        <v>5</v>
      </c>
      <c r="H99" s="3">
        <v>3390</v>
      </c>
      <c r="I99" s="3">
        <v>16950</v>
      </c>
      <c r="J99" s="3">
        <v>14090</v>
      </c>
      <c r="K99" s="3">
        <v>2860</v>
      </c>
    </row>
    <row r="100" spans="1:11">
      <c r="A100" t="s">
        <v>132</v>
      </c>
      <c r="B100" s="2">
        <v>46025</v>
      </c>
      <c r="C100" t="s">
        <v>21</v>
      </c>
      <c r="D100" t="s">
        <v>39</v>
      </c>
      <c r="E100" t="s">
        <v>19</v>
      </c>
      <c r="F100" t="s">
        <v>15</v>
      </c>
      <c r="G100">
        <v>4</v>
      </c>
      <c r="H100" s="3">
        <v>25680</v>
      </c>
      <c r="I100" s="3">
        <v>102720</v>
      </c>
      <c r="J100" s="3">
        <v>81440</v>
      </c>
      <c r="K100" s="3">
        <v>21280</v>
      </c>
    </row>
    <row r="101" spans="1:11">
      <c r="A101" t="s">
        <v>133</v>
      </c>
      <c r="B101" s="2">
        <v>46217</v>
      </c>
      <c r="C101" t="s">
        <v>17</v>
      </c>
      <c r="D101" t="s">
        <v>27</v>
      </c>
      <c r="E101" t="s">
        <v>37</v>
      </c>
      <c r="F101" t="s">
        <v>24</v>
      </c>
      <c r="G101">
        <v>8</v>
      </c>
      <c r="H101" s="3">
        <v>1240</v>
      </c>
      <c r="I101" s="3">
        <v>9920</v>
      </c>
      <c r="J101" s="3">
        <v>7320</v>
      </c>
      <c r="K101" s="3">
        <v>2600</v>
      </c>
    </row>
    <row r="102" spans="1:11">
      <c r="A102" t="s">
        <v>134</v>
      </c>
      <c r="B102" s="2">
        <v>46098</v>
      </c>
      <c r="C102" t="s">
        <v>26</v>
      </c>
      <c r="D102" t="s">
        <v>50</v>
      </c>
      <c r="E102" t="s">
        <v>37</v>
      </c>
      <c r="F102" t="s">
        <v>24</v>
      </c>
      <c r="G102">
        <v>7</v>
      </c>
      <c r="H102" s="3">
        <v>1250</v>
      </c>
      <c r="I102" s="3">
        <v>8750</v>
      </c>
      <c r="J102" s="3">
        <v>6070</v>
      </c>
      <c r="K102" s="3">
        <v>2680</v>
      </c>
    </row>
    <row r="103" spans="1:11">
      <c r="A103" t="s">
        <v>135</v>
      </c>
      <c r="B103" s="2">
        <v>46164</v>
      </c>
      <c r="C103" t="s">
        <v>26</v>
      </c>
      <c r="D103" t="s">
        <v>35</v>
      </c>
      <c r="E103" t="s">
        <v>19</v>
      </c>
      <c r="F103" t="s">
        <v>15</v>
      </c>
      <c r="G103">
        <v>6</v>
      </c>
      <c r="H103" s="3">
        <v>27580</v>
      </c>
      <c r="I103" s="3">
        <v>165480</v>
      </c>
      <c r="J103" s="3">
        <v>132220</v>
      </c>
      <c r="K103" s="3">
        <v>33260</v>
      </c>
    </row>
    <row r="104" spans="1:11">
      <c r="A104" t="s">
        <v>136</v>
      </c>
      <c r="B104" s="2">
        <v>46202</v>
      </c>
      <c r="C104" t="s">
        <v>12</v>
      </c>
      <c r="D104" t="s">
        <v>35</v>
      </c>
      <c r="E104" t="s">
        <v>33</v>
      </c>
      <c r="F104" t="s">
        <v>31</v>
      </c>
      <c r="G104">
        <v>5</v>
      </c>
      <c r="H104" s="3">
        <v>15380</v>
      </c>
      <c r="I104" s="3">
        <v>76900</v>
      </c>
      <c r="J104" s="3">
        <v>51930</v>
      </c>
      <c r="K104" s="3">
        <v>24970</v>
      </c>
    </row>
    <row r="105" spans="1:11">
      <c r="A105" t="s">
        <v>137</v>
      </c>
      <c r="B105" s="2">
        <v>46053</v>
      </c>
      <c r="C105" t="s">
        <v>26</v>
      </c>
      <c r="D105" t="s">
        <v>13</v>
      </c>
      <c r="E105" t="s">
        <v>19</v>
      </c>
      <c r="F105" t="s">
        <v>15</v>
      </c>
      <c r="G105">
        <v>3</v>
      </c>
      <c r="H105" s="3">
        <v>26270</v>
      </c>
      <c r="I105" s="3">
        <v>78810</v>
      </c>
      <c r="J105" s="3">
        <v>62830</v>
      </c>
      <c r="K105" s="3">
        <v>15980</v>
      </c>
    </row>
    <row r="106" spans="1:11">
      <c r="A106" t="s">
        <v>138</v>
      </c>
      <c r="B106" s="2">
        <v>46173</v>
      </c>
      <c r="C106" t="s">
        <v>26</v>
      </c>
      <c r="D106" t="s">
        <v>18</v>
      </c>
      <c r="E106" t="s">
        <v>19</v>
      </c>
      <c r="F106" t="s">
        <v>15</v>
      </c>
      <c r="G106">
        <v>5</v>
      </c>
      <c r="H106" s="3">
        <v>30690</v>
      </c>
      <c r="I106" s="3">
        <v>153450</v>
      </c>
      <c r="J106" s="3">
        <v>125800</v>
      </c>
      <c r="K106" s="3">
        <v>27650</v>
      </c>
    </row>
    <row r="107" spans="1:11">
      <c r="A107" t="s">
        <v>139</v>
      </c>
      <c r="B107" s="2">
        <v>46115</v>
      </c>
      <c r="C107" t="s">
        <v>26</v>
      </c>
      <c r="D107" t="s">
        <v>27</v>
      </c>
      <c r="E107" t="s">
        <v>41</v>
      </c>
      <c r="F107" t="s">
        <v>24</v>
      </c>
      <c r="G107">
        <v>5</v>
      </c>
      <c r="H107" s="3">
        <v>2260</v>
      </c>
      <c r="I107" s="3">
        <v>11300</v>
      </c>
      <c r="J107" s="3">
        <v>8450</v>
      </c>
      <c r="K107" s="3">
        <v>2850</v>
      </c>
    </row>
    <row r="108" spans="1:11">
      <c r="A108" t="s">
        <v>140</v>
      </c>
      <c r="B108" s="2">
        <v>46036</v>
      </c>
      <c r="C108" t="s">
        <v>21</v>
      </c>
      <c r="D108" t="s">
        <v>27</v>
      </c>
      <c r="E108" t="s">
        <v>19</v>
      </c>
      <c r="F108" t="s">
        <v>15</v>
      </c>
      <c r="G108">
        <v>5</v>
      </c>
      <c r="H108" s="3">
        <v>29110</v>
      </c>
      <c r="I108" s="3">
        <v>145550</v>
      </c>
      <c r="J108" s="3">
        <v>94650</v>
      </c>
      <c r="K108" s="3">
        <v>50900</v>
      </c>
    </row>
    <row r="109" spans="1:11">
      <c r="A109" t="s">
        <v>141</v>
      </c>
      <c r="B109" s="2">
        <v>46026</v>
      </c>
      <c r="C109" t="s">
        <v>12</v>
      </c>
      <c r="D109" t="s">
        <v>27</v>
      </c>
      <c r="E109" t="s">
        <v>23</v>
      </c>
      <c r="F109" t="s">
        <v>24</v>
      </c>
      <c r="G109">
        <v>5</v>
      </c>
      <c r="H109" s="3">
        <v>4470</v>
      </c>
      <c r="I109" s="3">
        <v>22350</v>
      </c>
      <c r="J109" s="3">
        <v>16220</v>
      </c>
      <c r="K109" s="3">
        <v>6130</v>
      </c>
    </row>
    <row r="110" spans="1:11">
      <c r="A110" t="s">
        <v>142</v>
      </c>
      <c r="B110" s="2">
        <v>46087</v>
      </c>
      <c r="C110" t="s">
        <v>17</v>
      </c>
      <c r="D110" t="s">
        <v>39</v>
      </c>
      <c r="E110" t="s">
        <v>33</v>
      </c>
      <c r="F110" t="s">
        <v>31</v>
      </c>
      <c r="G110">
        <v>2</v>
      </c>
      <c r="H110" s="3">
        <v>17030</v>
      </c>
      <c r="I110" s="3">
        <v>34060</v>
      </c>
      <c r="J110" s="3">
        <v>24390</v>
      </c>
      <c r="K110" s="3">
        <v>9670</v>
      </c>
    </row>
    <row r="111" spans="1:11">
      <c r="A111" t="s">
        <v>143</v>
      </c>
      <c r="B111" s="2">
        <v>46184</v>
      </c>
      <c r="C111" t="s">
        <v>26</v>
      </c>
      <c r="D111" t="s">
        <v>27</v>
      </c>
      <c r="E111" t="s">
        <v>43</v>
      </c>
      <c r="F111" t="s">
        <v>15</v>
      </c>
      <c r="G111">
        <v>3</v>
      </c>
      <c r="H111" s="3">
        <v>41840</v>
      </c>
      <c r="I111" s="3">
        <v>125520</v>
      </c>
      <c r="J111" s="3">
        <v>94780</v>
      </c>
      <c r="K111" s="3">
        <v>30740</v>
      </c>
    </row>
    <row r="112" spans="1:11">
      <c r="A112" t="s">
        <v>144</v>
      </c>
      <c r="B112" s="2">
        <v>46086</v>
      </c>
      <c r="C112" t="s">
        <v>12</v>
      </c>
      <c r="D112" t="s">
        <v>39</v>
      </c>
      <c r="E112" t="s">
        <v>14</v>
      </c>
      <c r="F112" t="s">
        <v>15</v>
      </c>
      <c r="G112">
        <v>7</v>
      </c>
      <c r="H112" s="3">
        <v>18380</v>
      </c>
      <c r="I112" s="3">
        <v>128660</v>
      </c>
      <c r="J112" s="3">
        <v>104190</v>
      </c>
      <c r="K112" s="3">
        <v>24470</v>
      </c>
    </row>
    <row r="113" spans="1:11">
      <c r="A113" t="s">
        <v>145</v>
      </c>
      <c r="B113" s="2">
        <v>46120</v>
      </c>
      <c r="C113" t="s">
        <v>21</v>
      </c>
      <c r="D113" t="s">
        <v>35</v>
      </c>
      <c r="E113" t="s">
        <v>33</v>
      </c>
      <c r="F113" t="s">
        <v>31</v>
      </c>
      <c r="G113">
        <v>8</v>
      </c>
      <c r="H113" s="3">
        <v>15350</v>
      </c>
      <c r="I113" s="3">
        <v>122800</v>
      </c>
      <c r="J113" s="3">
        <v>93480</v>
      </c>
      <c r="K113" s="3">
        <v>29320</v>
      </c>
    </row>
    <row r="114" spans="1:11">
      <c r="A114" t="s">
        <v>146</v>
      </c>
      <c r="B114" s="2">
        <v>46168</v>
      </c>
      <c r="C114" t="s">
        <v>12</v>
      </c>
      <c r="D114" t="s">
        <v>13</v>
      </c>
      <c r="E114" t="s">
        <v>23</v>
      </c>
      <c r="F114" t="s">
        <v>24</v>
      </c>
      <c r="G114">
        <v>1</v>
      </c>
      <c r="H114" s="3">
        <v>4600</v>
      </c>
      <c r="I114" s="3">
        <v>4600</v>
      </c>
      <c r="J114" s="3">
        <v>3670</v>
      </c>
      <c r="K114" s="3">
        <v>930</v>
      </c>
    </row>
    <row r="115" spans="1:11">
      <c r="A115" t="s">
        <v>147</v>
      </c>
      <c r="B115" s="2">
        <v>46077</v>
      </c>
      <c r="C115" t="s">
        <v>17</v>
      </c>
      <c r="D115" t="s">
        <v>18</v>
      </c>
      <c r="E115" t="s">
        <v>55</v>
      </c>
      <c r="F115" t="s">
        <v>15</v>
      </c>
      <c r="G115">
        <v>2</v>
      </c>
      <c r="H115" s="3">
        <v>13970</v>
      </c>
      <c r="I115" s="3">
        <v>27940</v>
      </c>
      <c r="J115" s="3">
        <v>18490</v>
      </c>
      <c r="K115" s="3">
        <v>9450</v>
      </c>
    </row>
    <row r="116" spans="1:11">
      <c r="A116" t="s">
        <v>148</v>
      </c>
      <c r="B116" s="2">
        <v>46023</v>
      </c>
      <c r="C116" t="s">
        <v>17</v>
      </c>
      <c r="D116" t="s">
        <v>18</v>
      </c>
      <c r="E116" t="s">
        <v>30</v>
      </c>
      <c r="F116" t="s">
        <v>31</v>
      </c>
      <c r="G116">
        <v>8</v>
      </c>
      <c r="H116" s="3">
        <v>12450</v>
      </c>
      <c r="I116" s="3">
        <v>99600</v>
      </c>
      <c r="J116" s="3">
        <v>72980</v>
      </c>
      <c r="K116" s="3">
        <v>26620</v>
      </c>
    </row>
    <row r="117" spans="1:11">
      <c r="A117" t="s">
        <v>149</v>
      </c>
      <c r="B117" s="2">
        <v>46096</v>
      </c>
      <c r="C117" t="s">
        <v>26</v>
      </c>
      <c r="D117" t="s">
        <v>13</v>
      </c>
      <c r="E117" t="s">
        <v>55</v>
      </c>
      <c r="F117" t="s">
        <v>15</v>
      </c>
      <c r="G117">
        <v>8</v>
      </c>
      <c r="H117" s="3">
        <v>13710</v>
      </c>
      <c r="I117" s="3">
        <v>109680</v>
      </c>
      <c r="J117" s="3">
        <v>74150</v>
      </c>
      <c r="K117" s="3">
        <v>35530</v>
      </c>
    </row>
    <row r="118" spans="1:11">
      <c r="A118" t="s">
        <v>150</v>
      </c>
      <c r="B118" s="2">
        <v>46173</v>
      </c>
      <c r="C118" t="s">
        <v>12</v>
      </c>
      <c r="D118" t="s">
        <v>35</v>
      </c>
      <c r="E118" t="s">
        <v>37</v>
      </c>
      <c r="F118" t="s">
        <v>24</v>
      </c>
      <c r="G118">
        <v>7</v>
      </c>
      <c r="H118" s="3">
        <v>1110</v>
      </c>
      <c r="I118" s="3">
        <v>7770</v>
      </c>
      <c r="J118" s="3">
        <v>5240</v>
      </c>
      <c r="K118" s="3">
        <v>2530</v>
      </c>
    </row>
    <row r="119" spans="1:11">
      <c r="A119" t="s">
        <v>151</v>
      </c>
      <c r="B119" s="2">
        <v>46234</v>
      </c>
      <c r="C119" t="s">
        <v>26</v>
      </c>
      <c r="D119" t="s">
        <v>50</v>
      </c>
      <c r="E119" t="s">
        <v>41</v>
      </c>
      <c r="F119" t="s">
        <v>24</v>
      </c>
      <c r="G119">
        <v>2</v>
      </c>
      <c r="H119" s="3">
        <v>2280</v>
      </c>
      <c r="I119" s="3">
        <v>4560</v>
      </c>
      <c r="J119" s="3">
        <v>3690</v>
      </c>
      <c r="K119" s="3">
        <v>870</v>
      </c>
    </row>
    <row r="120" spans="1:11">
      <c r="A120" t="s">
        <v>152</v>
      </c>
      <c r="B120" s="2">
        <v>46054</v>
      </c>
      <c r="C120" t="s">
        <v>21</v>
      </c>
      <c r="D120" t="s">
        <v>50</v>
      </c>
      <c r="E120" t="s">
        <v>33</v>
      </c>
      <c r="F120" t="s">
        <v>31</v>
      </c>
      <c r="G120">
        <v>5</v>
      </c>
      <c r="H120" s="3">
        <v>16640</v>
      </c>
      <c r="I120" s="3">
        <v>83200</v>
      </c>
      <c r="J120" s="3">
        <v>70410</v>
      </c>
      <c r="K120" s="3">
        <v>12790</v>
      </c>
    </row>
    <row r="121" spans="1:11">
      <c r="A121" t="s">
        <v>153</v>
      </c>
      <c r="B121" s="2">
        <v>46043</v>
      </c>
      <c r="C121" t="s">
        <v>26</v>
      </c>
      <c r="D121" t="s">
        <v>27</v>
      </c>
      <c r="E121" t="s">
        <v>23</v>
      </c>
      <c r="F121" t="s">
        <v>24</v>
      </c>
      <c r="G121">
        <v>1</v>
      </c>
      <c r="H121" s="3">
        <v>4850</v>
      </c>
      <c r="I121" s="3">
        <v>4850</v>
      </c>
      <c r="J121" s="3">
        <v>3860</v>
      </c>
      <c r="K121" s="3">
        <v>990</v>
      </c>
    </row>
    <row r="122" spans="1:11">
      <c r="A122" t="s">
        <v>154</v>
      </c>
      <c r="B122" s="2">
        <v>46046</v>
      </c>
      <c r="C122" t="s">
        <v>26</v>
      </c>
      <c r="D122" t="s">
        <v>39</v>
      </c>
      <c r="E122" t="s">
        <v>37</v>
      </c>
      <c r="F122" t="s">
        <v>24</v>
      </c>
      <c r="G122">
        <v>1</v>
      </c>
      <c r="H122" s="3">
        <v>1320</v>
      </c>
      <c r="I122" s="3">
        <v>1320</v>
      </c>
      <c r="J122" s="3">
        <v>1030</v>
      </c>
      <c r="K122" s="3">
        <v>290</v>
      </c>
    </row>
    <row r="123" spans="1:11">
      <c r="A123" t="s">
        <v>155</v>
      </c>
      <c r="B123" s="2">
        <v>46033</v>
      </c>
      <c r="C123" t="s">
        <v>26</v>
      </c>
      <c r="D123" t="s">
        <v>18</v>
      </c>
      <c r="E123" t="s">
        <v>41</v>
      </c>
      <c r="F123" t="s">
        <v>24</v>
      </c>
      <c r="G123">
        <v>8</v>
      </c>
      <c r="H123" s="3">
        <v>2510</v>
      </c>
      <c r="I123" s="3">
        <v>20080</v>
      </c>
      <c r="J123" s="3">
        <v>14580</v>
      </c>
      <c r="K123" s="3">
        <v>5500</v>
      </c>
    </row>
    <row r="124" spans="1:11">
      <c r="A124" t="s">
        <v>156</v>
      </c>
      <c r="B124" s="2">
        <v>46172</v>
      </c>
      <c r="C124" t="s">
        <v>21</v>
      </c>
      <c r="D124" t="s">
        <v>35</v>
      </c>
      <c r="E124" t="s">
        <v>30</v>
      </c>
      <c r="F124" t="s">
        <v>31</v>
      </c>
      <c r="G124">
        <v>8</v>
      </c>
      <c r="H124" s="3">
        <v>13130</v>
      </c>
      <c r="I124" s="3">
        <v>105040</v>
      </c>
      <c r="J124" s="3">
        <v>76970</v>
      </c>
      <c r="K124" s="3">
        <v>28070</v>
      </c>
    </row>
    <row r="125" spans="1:11">
      <c r="A125" t="s">
        <v>157</v>
      </c>
      <c r="B125" s="2">
        <v>46105</v>
      </c>
      <c r="C125" t="s">
        <v>26</v>
      </c>
      <c r="D125" t="s">
        <v>13</v>
      </c>
      <c r="E125" t="s">
        <v>14</v>
      </c>
      <c r="F125" t="s">
        <v>15</v>
      </c>
      <c r="G125">
        <v>3</v>
      </c>
      <c r="H125" s="3">
        <v>17390</v>
      </c>
      <c r="I125" s="3">
        <v>52170</v>
      </c>
      <c r="J125" s="3">
        <v>41030</v>
      </c>
      <c r="K125" s="3">
        <v>11140</v>
      </c>
    </row>
    <row r="126" spans="1:11">
      <c r="A126" t="s">
        <v>158</v>
      </c>
      <c r="B126" s="2">
        <v>46125</v>
      </c>
      <c r="C126" t="s">
        <v>26</v>
      </c>
      <c r="D126" t="s">
        <v>27</v>
      </c>
      <c r="E126" t="s">
        <v>19</v>
      </c>
      <c r="F126" t="s">
        <v>15</v>
      </c>
      <c r="G126">
        <v>1</v>
      </c>
      <c r="H126" s="3">
        <v>27750</v>
      </c>
      <c r="I126" s="3">
        <v>27750</v>
      </c>
      <c r="J126" s="3">
        <v>19300</v>
      </c>
      <c r="K126" s="3">
        <v>8450</v>
      </c>
    </row>
    <row r="127" spans="1:11">
      <c r="A127" t="s">
        <v>159</v>
      </c>
      <c r="B127" s="2">
        <v>46220</v>
      </c>
      <c r="C127" t="s">
        <v>21</v>
      </c>
      <c r="D127" t="s">
        <v>27</v>
      </c>
      <c r="E127" t="s">
        <v>30</v>
      </c>
      <c r="F127" t="s">
        <v>31</v>
      </c>
      <c r="G127">
        <v>1</v>
      </c>
      <c r="H127" s="3">
        <v>12380</v>
      </c>
      <c r="I127" s="3">
        <v>12380</v>
      </c>
      <c r="J127" s="3">
        <v>9290</v>
      </c>
      <c r="K127" s="3">
        <v>3090</v>
      </c>
    </row>
    <row r="128" spans="1:11">
      <c r="A128" t="s">
        <v>160</v>
      </c>
      <c r="B128" s="2">
        <v>46071</v>
      </c>
      <c r="C128" t="s">
        <v>21</v>
      </c>
      <c r="D128" t="s">
        <v>27</v>
      </c>
      <c r="E128" t="s">
        <v>19</v>
      </c>
      <c r="F128" t="s">
        <v>15</v>
      </c>
      <c r="G128">
        <v>6</v>
      </c>
      <c r="H128" s="3">
        <v>28690</v>
      </c>
      <c r="I128" s="3">
        <v>172140</v>
      </c>
      <c r="J128" s="3">
        <v>127320</v>
      </c>
      <c r="K128" s="3">
        <v>44820</v>
      </c>
    </row>
    <row r="129" spans="1:11">
      <c r="A129" t="s">
        <v>161</v>
      </c>
      <c r="B129" s="2">
        <v>46075</v>
      </c>
      <c r="C129" t="s">
        <v>21</v>
      </c>
      <c r="D129" t="s">
        <v>27</v>
      </c>
      <c r="E129" t="s">
        <v>55</v>
      </c>
      <c r="F129" t="s">
        <v>15</v>
      </c>
      <c r="G129">
        <v>3</v>
      </c>
      <c r="H129" s="3">
        <v>16280</v>
      </c>
      <c r="I129" s="3">
        <v>48840</v>
      </c>
      <c r="J129" s="3">
        <v>35420</v>
      </c>
      <c r="K129" s="3">
        <v>13420</v>
      </c>
    </row>
    <row r="130" spans="1:11">
      <c r="A130" t="s">
        <v>162</v>
      </c>
      <c r="B130" s="2">
        <v>46030</v>
      </c>
      <c r="C130" t="s">
        <v>17</v>
      </c>
      <c r="D130" t="s">
        <v>39</v>
      </c>
      <c r="E130" t="s">
        <v>23</v>
      </c>
      <c r="F130" t="s">
        <v>24</v>
      </c>
      <c r="G130">
        <v>4</v>
      </c>
      <c r="H130" s="3">
        <v>4690</v>
      </c>
      <c r="I130" s="3">
        <v>18760</v>
      </c>
      <c r="J130" s="3">
        <v>13030</v>
      </c>
      <c r="K130" s="3">
        <v>5730</v>
      </c>
    </row>
    <row r="131" spans="1:11">
      <c r="A131" t="s">
        <v>163</v>
      </c>
      <c r="B131" s="2">
        <v>46127</v>
      </c>
      <c r="C131" t="s">
        <v>21</v>
      </c>
      <c r="D131" t="s">
        <v>27</v>
      </c>
      <c r="E131" t="s">
        <v>14</v>
      </c>
      <c r="F131" t="s">
        <v>15</v>
      </c>
      <c r="G131">
        <v>4</v>
      </c>
      <c r="H131" s="3">
        <v>19770</v>
      </c>
      <c r="I131" s="3">
        <v>79080</v>
      </c>
      <c r="J131" s="3">
        <v>66360</v>
      </c>
      <c r="K131" s="3">
        <v>12720</v>
      </c>
    </row>
    <row r="132" spans="1:11">
      <c r="A132" t="s">
        <v>164</v>
      </c>
      <c r="B132" s="2">
        <v>46188</v>
      </c>
      <c r="C132" t="s">
        <v>26</v>
      </c>
      <c r="D132" t="s">
        <v>50</v>
      </c>
      <c r="E132" t="s">
        <v>41</v>
      </c>
      <c r="F132" t="s">
        <v>24</v>
      </c>
      <c r="G132">
        <v>8</v>
      </c>
      <c r="H132" s="3">
        <v>2720</v>
      </c>
      <c r="I132" s="3">
        <v>21760</v>
      </c>
      <c r="J132" s="3">
        <v>15020</v>
      </c>
      <c r="K132" s="3">
        <v>6740</v>
      </c>
    </row>
    <row r="133" spans="1:11">
      <c r="A133" t="s">
        <v>165</v>
      </c>
      <c r="B133" s="2">
        <v>46146</v>
      </c>
      <c r="C133" t="s">
        <v>12</v>
      </c>
      <c r="D133" t="s">
        <v>39</v>
      </c>
      <c r="E133" t="s">
        <v>33</v>
      </c>
      <c r="F133" t="s">
        <v>31</v>
      </c>
      <c r="G133">
        <v>4</v>
      </c>
      <c r="H133" s="3">
        <v>15860</v>
      </c>
      <c r="I133" s="3">
        <v>63440</v>
      </c>
      <c r="J133" s="3">
        <v>41540</v>
      </c>
      <c r="K133" s="3">
        <v>21900</v>
      </c>
    </row>
    <row r="134" spans="1:11">
      <c r="A134" t="s">
        <v>166</v>
      </c>
      <c r="B134" s="2">
        <v>46153</v>
      </c>
      <c r="C134" t="s">
        <v>21</v>
      </c>
      <c r="D134" t="s">
        <v>35</v>
      </c>
      <c r="E134" t="s">
        <v>41</v>
      </c>
      <c r="F134" t="s">
        <v>24</v>
      </c>
      <c r="G134">
        <v>2</v>
      </c>
      <c r="H134" s="3">
        <v>2390</v>
      </c>
      <c r="I134" s="3">
        <v>4780</v>
      </c>
      <c r="J134" s="3">
        <v>3870</v>
      </c>
      <c r="K134" s="3">
        <v>910</v>
      </c>
    </row>
    <row r="135" spans="1:11">
      <c r="A135" t="s">
        <v>167</v>
      </c>
      <c r="B135" s="2">
        <v>46224</v>
      </c>
      <c r="C135" t="s">
        <v>26</v>
      </c>
      <c r="D135" t="s">
        <v>39</v>
      </c>
      <c r="E135" t="s">
        <v>19</v>
      </c>
      <c r="F135" t="s">
        <v>15</v>
      </c>
      <c r="G135">
        <v>5</v>
      </c>
      <c r="H135" s="3">
        <v>29800</v>
      </c>
      <c r="I135" s="3">
        <v>149000</v>
      </c>
      <c r="J135" s="3">
        <v>102490</v>
      </c>
      <c r="K135" s="3">
        <v>46510</v>
      </c>
    </row>
    <row r="136" spans="1:11">
      <c r="A136" t="s">
        <v>168</v>
      </c>
      <c r="B136" s="2">
        <v>46171</v>
      </c>
      <c r="C136" t="s">
        <v>26</v>
      </c>
      <c r="D136" t="s">
        <v>39</v>
      </c>
      <c r="E136" t="s">
        <v>33</v>
      </c>
      <c r="F136" t="s">
        <v>31</v>
      </c>
      <c r="G136">
        <v>3</v>
      </c>
      <c r="H136" s="3">
        <v>15830</v>
      </c>
      <c r="I136" s="3">
        <v>47490</v>
      </c>
      <c r="J136" s="3">
        <v>34960</v>
      </c>
      <c r="K136" s="3">
        <v>12530</v>
      </c>
    </row>
    <row r="137" spans="1:11">
      <c r="A137" t="s">
        <v>169</v>
      </c>
      <c r="B137" s="2">
        <v>46218</v>
      </c>
      <c r="C137" t="s">
        <v>12</v>
      </c>
      <c r="D137" t="s">
        <v>13</v>
      </c>
      <c r="E137" t="s">
        <v>19</v>
      </c>
      <c r="F137" t="s">
        <v>15</v>
      </c>
      <c r="G137">
        <v>7</v>
      </c>
      <c r="H137" s="3">
        <v>27750</v>
      </c>
      <c r="I137" s="3">
        <v>194250</v>
      </c>
      <c r="J137" s="3">
        <v>135440</v>
      </c>
      <c r="K137" s="3">
        <v>58810</v>
      </c>
    </row>
    <row r="138" spans="1:11">
      <c r="A138" t="s">
        <v>170</v>
      </c>
      <c r="B138" s="2">
        <v>46084</v>
      </c>
      <c r="C138" t="s">
        <v>17</v>
      </c>
      <c r="D138" t="s">
        <v>35</v>
      </c>
      <c r="E138" t="s">
        <v>23</v>
      </c>
      <c r="F138" t="s">
        <v>24</v>
      </c>
      <c r="G138">
        <v>7</v>
      </c>
      <c r="H138" s="3">
        <v>4260</v>
      </c>
      <c r="I138" s="3">
        <v>29820</v>
      </c>
      <c r="J138" s="3">
        <v>24040</v>
      </c>
      <c r="K138" s="3">
        <v>5780</v>
      </c>
    </row>
    <row r="139" spans="1:11">
      <c r="A139" t="s">
        <v>171</v>
      </c>
      <c r="B139" s="2">
        <v>46213</v>
      </c>
      <c r="C139" t="s">
        <v>12</v>
      </c>
      <c r="D139" t="s">
        <v>50</v>
      </c>
      <c r="E139" t="s">
        <v>33</v>
      </c>
      <c r="F139" t="s">
        <v>31</v>
      </c>
      <c r="G139">
        <v>7</v>
      </c>
      <c r="H139" s="3">
        <v>15640</v>
      </c>
      <c r="I139" s="3">
        <v>109480</v>
      </c>
      <c r="J139" s="3">
        <v>85320</v>
      </c>
      <c r="K139" s="3">
        <v>24160</v>
      </c>
    </row>
    <row r="140" spans="1:11">
      <c r="A140" t="s">
        <v>172</v>
      </c>
      <c r="B140" s="2">
        <v>46032</v>
      </c>
      <c r="C140" t="s">
        <v>21</v>
      </c>
      <c r="D140" t="s">
        <v>27</v>
      </c>
      <c r="E140" t="s">
        <v>41</v>
      </c>
      <c r="F140" t="s">
        <v>24</v>
      </c>
      <c r="G140">
        <v>6</v>
      </c>
      <c r="H140" s="3">
        <v>2680</v>
      </c>
      <c r="I140" s="3">
        <v>16080</v>
      </c>
      <c r="J140" s="3">
        <v>13340</v>
      </c>
      <c r="K140" s="3">
        <v>2740</v>
      </c>
    </row>
    <row r="141" spans="1:11">
      <c r="A141" t="s">
        <v>173</v>
      </c>
      <c r="B141" s="2">
        <v>46157</v>
      </c>
      <c r="C141" t="s">
        <v>12</v>
      </c>
      <c r="D141" t="s">
        <v>27</v>
      </c>
      <c r="E141" t="s">
        <v>33</v>
      </c>
      <c r="F141" t="s">
        <v>31</v>
      </c>
      <c r="G141">
        <v>1</v>
      </c>
      <c r="H141" s="3">
        <v>16710</v>
      </c>
      <c r="I141" s="3">
        <v>16710</v>
      </c>
      <c r="J141" s="3">
        <v>12000</v>
      </c>
      <c r="K141" s="3">
        <v>4710</v>
      </c>
    </row>
    <row r="142" spans="1:11">
      <c r="A142" t="s">
        <v>174</v>
      </c>
      <c r="B142" s="2">
        <v>46143</v>
      </c>
      <c r="C142" t="s">
        <v>17</v>
      </c>
      <c r="D142" t="s">
        <v>35</v>
      </c>
      <c r="E142" t="s">
        <v>55</v>
      </c>
      <c r="F142" t="s">
        <v>15</v>
      </c>
      <c r="G142">
        <v>6</v>
      </c>
      <c r="H142" s="3">
        <v>15370</v>
      </c>
      <c r="I142" s="3">
        <v>92220</v>
      </c>
      <c r="J142" s="3">
        <v>65970</v>
      </c>
      <c r="K142" s="3">
        <v>26250</v>
      </c>
    </row>
    <row r="143" spans="1:11">
      <c r="A143" t="s">
        <v>175</v>
      </c>
      <c r="B143" s="2">
        <v>46195</v>
      </c>
      <c r="C143" t="s">
        <v>21</v>
      </c>
      <c r="D143" t="s">
        <v>39</v>
      </c>
      <c r="E143" t="s">
        <v>19</v>
      </c>
      <c r="F143" t="s">
        <v>15</v>
      </c>
      <c r="G143">
        <v>7</v>
      </c>
      <c r="H143" s="3">
        <v>30540</v>
      </c>
      <c r="I143" s="3">
        <v>213780</v>
      </c>
      <c r="J143" s="3">
        <v>164700</v>
      </c>
      <c r="K143" s="3">
        <v>49080</v>
      </c>
    </row>
    <row r="144" spans="1:11">
      <c r="A144" t="s">
        <v>176</v>
      </c>
      <c r="B144" s="2">
        <v>46032</v>
      </c>
      <c r="C144" t="s">
        <v>26</v>
      </c>
      <c r="D144" t="s">
        <v>18</v>
      </c>
      <c r="E144" t="s">
        <v>23</v>
      </c>
      <c r="F144" t="s">
        <v>24</v>
      </c>
      <c r="G144">
        <v>2</v>
      </c>
      <c r="H144" s="3">
        <v>4260</v>
      </c>
      <c r="I144" s="3">
        <v>8520</v>
      </c>
      <c r="J144" s="3">
        <v>6680</v>
      </c>
      <c r="K144" s="3">
        <v>1840</v>
      </c>
    </row>
    <row r="145" spans="1:11">
      <c r="A145" t="s">
        <v>177</v>
      </c>
      <c r="B145" s="2">
        <v>46214</v>
      </c>
      <c r="C145" t="s">
        <v>17</v>
      </c>
      <c r="D145" t="s">
        <v>50</v>
      </c>
      <c r="E145" t="s">
        <v>14</v>
      </c>
      <c r="F145" t="s">
        <v>15</v>
      </c>
      <c r="G145">
        <v>7</v>
      </c>
      <c r="H145" s="3">
        <v>19720</v>
      </c>
      <c r="I145" s="3">
        <v>138040</v>
      </c>
      <c r="J145" s="3">
        <v>110780</v>
      </c>
      <c r="K145" s="3">
        <v>27260</v>
      </c>
    </row>
    <row r="146" spans="1:11">
      <c r="A146" t="s">
        <v>178</v>
      </c>
      <c r="B146" s="2">
        <v>46065</v>
      </c>
      <c r="C146" t="s">
        <v>26</v>
      </c>
      <c r="D146" t="s">
        <v>35</v>
      </c>
      <c r="E146" t="s">
        <v>55</v>
      </c>
      <c r="F146" t="s">
        <v>15</v>
      </c>
      <c r="G146">
        <v>1</v>
      </c>
      <c r="H146" s="3">
        <v>13640</v>
      </c>
      <c r="I146" s="3">
        <v>13640</v>
      </c>
      <c r="J146" s="3">
        <v>11060</v>
      </c>
      <c r="K146" s="3">
        <v>2580</v>
      </c>
    </row>
    <row r="147" spans="1:11">
      <c r="A147" t="s">
        <v>179</v>
      </c>
      <c r="B147" s="2">
        <v>46118</v>
      </c>
      <c r="C147" t="s">
        <v>12</v>
      </c>
      <c r="D147" t="s">
        <v>18</v>
      </c>
      <c r="E147" t="s">
        <v>30</v>
      </c>
      <c r="F147" t="s">
        <v>31</v>
      </c>
      <c r="G147">
        <v>3</v>
      </c>
      <c r="H147" s="3">
        <v>11390</v>
      </c>
      <c r="I147" s="3">
        <v>34170</v>
      </c>
      <c r="J147" s="3">
        <v>24560</v>
      </c>
      <c r="K147" s="3">
        <v>9610</v>
      </c>
    </row>
    <row r="148" spans="1:11">
      <c r="A148" t="s">
        <v>180</v>
      </c>
      <c r="B148" s="2">
        <v>46067</v>
      </c>
      <c r="C148" t="s">
        <v>12</v>
      </c>
      <c r="D148" t="s">
        <v>18</v>
      </c>
      <c r="E148" t="s">
        <v>14</v>
      </c>
      <c r="F148" t="s">
        <v>15</v>
      </c>
      <c r="G148">
        <v>7</v>
      </c>
      <c r="H148" s="3">
        <v>18430</v>
      </c>
      <c r="I148" s="3">
        <v>129010</v>
      </c>
      <c r="J148" s="3">
        <v>87440</v>
      </c>
      <c r="K148" s="3">
        <v>41570</v>
      </c>
    </row>
    <row r="149" spans="1:11">
      <c r="A149" t="s">
        <v>181</v>
      </c>
      <c r="B149" s="2">
        <v>46141</v>
      </c>
      <c r="C149" t="s">
        <v>21</v>
      </c>
      <c r="D149" t="s">
        <v>35</v>
      </c>
      <c r="E149" t="s">
        <v>55</v>
      </c>
      <c r="F149" t="s">
        <v>15</v>
      </c>
      <c r="G149">
        <v>8</v>
      </c>
      <c r="H149" s="3">
        <v>14270</v>
      </c>
      <c r="I149" s="3">
        <v>114160</v>
      </c>
      <c r="J149" s="3">
        <v>71040</v>
      </c>
      <c r="K149" s="3">
        <v>43120</v>
      </c>
    </row>
    <row r="150" spans="1:11">
      <c r="A150" t="s">
        <v>182</v>
      </c>
      <c r="B150" s="2">
        <v>46196</v>
      </c>
      <c r="C150" t="s">
        <v>26</v>
      </c>
      <c r="D150" t="s">
        <v>13</v>
      </c>
      <c r="E150" t="s">
        <v>19</v>
      </c>
      <c r="F150" t="s">
        <v>15</v>
      </c>
      <c r="G150">
        <v>3</v>
      </c>
      <c r="H150" s="3">
        <v>25610</v>
      </c>
      <c r="I150" s="3">
        <v>76830</v>
      </c>
      <c r="J150" s="3">
        <v>65060</v>
      </c>
      <c r="K150" s="3">
        <v>11770</v>
      </c>
    </row>
    <row r="151" spans="1:11">
      <c r="A151" t="s">
        <v>183</v>
      </c>
      <c r="B151" s="2">
        <v>46131</v>
      </c>
      <c r="C151" t="s">
        <v>21</v>
      </c>
      <c r="D151" t="s">
        <v>50</v>
      </c>
      <c r="E151" t="s">
        <v>55</v>
      </c>
      <c r="F151" t="s">
        <v>15</v>
      </c>
      <c r="G151">
        <v>8</v>
      </c>
      <c r="H151" s="3">
        <v>16040</v>
      </c>
      <c r="I151" s="3">
        <v>128320</v>
      </c>
      <c r="J151" s="3">
        <v>85690</v>
      </c>
      <c r="K151" s="3">
        <v>42630</v>
      </c>
    </row>
    <row r="152" spans="1:11">
      <c r="A152" t="s">
        <v>184</v>
      </c>
      <c r="B152" s="2">
        <v>46050</v>
      </c>
      <c r="C152" t="s">
        <v>26</v>
      </c>
      <c r="D152" t="s">
        <v>27</v>
      </c>
      <c r="E152" t="s">
        <v>37</v>
      </c>
      <c r="F152" t="s">
        <v>24</v>
      </c>
      <c r="G152">
        <v>7</v>
      </c>
      <c r="H152" s="3">
        <v>1220</v>
      </c>
      <c r="I152" s="3">
        <v>8540</v>
      </c>
      <c r="J152" s="3">
        <v>6470</v>
      </c>
      <c r="K152" s="3">
        <v>2070</v>
      </c>
    </row>
    <row r="153" spans="1:11">
      <c r="A153" t="s">
        <v>185</v>
      </c>
      <c r="B153" s="2">
        <v>46191</v>
      </c>
      <c r="C153" t="s">
        <v>17</v>
      </c>
      <c r="D153" t="s">
        <v>39</v>
      </c>
      <c r="E153" t="s">
        <v>30</v>
      </c>
      <c r="F153" t="s">
        <v>31</v>
      </c>
      <c r="G153">
        <v>5</v>
      </c>
      <c r="H153" s="3">
        <v>10820</v>
      </c>
      <c r="I153" s="3">
        <v>54100</v>
      </c>
      <c r="J153" s="3">
        <v>44770</v>
      </c>
      <c r="K153" s="3">
        <v>9330</v>
      </c>
    </row>
    <row r="154" spans="1:11">
      <c r="A154" t="s">
        <v>186</v>
      </c>
      <c r="B154" s="2">
        <v>46213</v>
      </c>
      <c r="C154" t="s">
        <v>26</v>
      </c>
      <c r="D154" t="s">
        <v>18</v>
      </c>
      <c r="E154" t="s">
        <v>33</v>
      </c>
      <c r="F154" t="s">
        <v>31</v>
      </c>
      <c r="G154">
        <v>5</v>
      </c>
      <c r="H154" s="3">
        <v>16880</v>
      </c>
      <c r="I154" s="3">
        <v>84400</v>
      </c>
      <c r="J154" s="3">
        <v>56990</v>
      </c>
      <c r="K154" s="3">
        <v>27410</v>
      </c>
    </row>
    <row r="155" spans="1:11">
      <c r="A155" t="s">
        <v>187</v>
      </c>
      <c r="B155" s="2">
        <v>46185</v>
      </c>
      <c r="C155" t="s">
        <v>12</v>
      </c>
      <c r="D155" t="s">
        <v>13</v>
      </c>
      <c r="E155" t="s">
        <v>37</v>
      </c>
      <c r="F155" t="s">
        <v>24</v>
      </c>
      <c r="G155">
        <v>5</v>
      </c>
      <c r="H155" s="3">
        <v>1240</v>
      </c>
      <c r="I155" s="3">
        <v>6200</v>
      </c>
      <c r="J155" s="3">
        <v>4920</v>
      </c>
      <c r="K155" s="3">
        <v>1280</v>
      </c>
    </row>
    <row r="156" spans="1:11">
      <c r="A156" t="s">
        <v>188</v>
      </c>
      <c r="B156" s="2">
        <v>46047</v>
      </c>
      <c r="C156" t="s">
        <v>26</v>
      </c>
      <c r="D156" t="s">
        <v>13</v>
      </c>
      <c r="E156" t="s">
        <v>43</v>
      </c>
      <c r="F156" t="s">
        <v>15</v>
      </c>
      <c r="G156">
        <v>5</v>
      </c>
      <c r="H156" s="3">
        <v>47600</v>
      </c>
      <c r="I156" s="3">
        <v>238000</v>
      </c>
      <c r="J156" s="3">
        <v>149470</v>
      </c>
      <c r="K156" s="3">
        <v>88530</v>
      </c>
    </row>
    <row r="157" spans="1:11">
      <c r="A157" t="s">
        <v>189</v>
      </c>
      <c r="B157" s="2">
        <v>46056</v>
      </c>
      <c r="C157" t="s">
        <v>12</v>
      </c>
      <c r="D157" t="s">
        <v>18</v>
      </c>
      <c r="E157" t="s">
        <v>14</v>
      </c>
      <c r="F157" t="s">
        <v>15</v>
      </c>
      <c r="G157">
        <v>5</v>
      </c>
      <c r="H157" s="3">
        <v>17380</v>
      </c>
      <c r="I157" s="3">
        <v>86900</v>
      </c>
      <c r="J157" s="3">
        <v>62540</v>
      </c>
      <c r="K157" s="3">
        <v>24360</v>
      </c>
    </row>
    <row r="158" spans="1:11">
      <c r="A158" t="s">
        <v>190</v>
      </c>
      <c r="B158" s="2">
        <v>46224</v>
      </c>
      <c r="C158" t="s">
        <v>12</v>
      </c>
      <c r="D158" t="s">
        <v>35</v>
      </c>
      <c r="E158" t="s">
        <v>19</v>
      </c>
      <c r="F158" t="s">
        <v>15</v>
      </c>
      <c r="G158">
        <v>6</v>
      </c>
      <c r="H158" s="3">
        <v>28170</v>
      </c>
      <c r="I158" s="3">
        <v>169020</v>
      </c>
      <c r="J158" s="3">
        <v>141850</v>
      </c>
      <c r="K158" s="3">
        <v>27170</v>
      </c>
    </row>
    <row r="159" spans="1:11">
      <c r="A159" t="s">
        <v>191</v>
      </c>
      <c r="B159" s="2">
        <v>46234</v>
      </c>
      <c r="C159" t="s">
        <v>17</v>
      </c>
      <c r="D159" t="s">
        <v>50</v>
      </c>
      <c r="E159" t="s">
        <v>33</v>
      </c>
      <c r="F159" t="s">
        <v>31</v>
      </c>
      <c r="G159">
        <v>5</v>
      </c>
      <c r="H159" s="3">
        <v>16790</v>
      </c>
      <c r="I159" s="3">
        <v>83950</v>
      </c>
      <c r="J159" s="3">
        <v>58870</v>
      </c>
      <c r="K159" s="3">
        <v>25080</v>
      </c>
    </row>
    <row r="160" spans="1:11">
      <c r="A160" t="s">
        <v>192</v>
      </c>
      <c r="B160" s="2">
        <v>46042</v>
      </c>
      <c r="C160" t="s">
        <v>21</v>
      </c>
      <c r="D160" t="s">
        <v>39</v>
      </c>
      <c r="E160" t="s">
        <v>41</v>
      </c>
      <c r="F160" t="s">
        <v>24</v>
      </c>
      <c r="G160">
        <v>4</v>
      </c>
      <c r="H160" s="3">
        <v>2680</v>
      </c>
      <c r="I160" s="3">
        <v>10720</v>
      </c>
      <c r="J160" s="3">
        <v>8510</v>
      </c>
      <c r="K160" s="3">
        <v>2210</v>
      </c>
    </row>
    <row r="161" spans="1:11">
      <c r="A161" t="s">
        <v>193</v>
      </c>
      <c r="B161" s="2">
        <v>46116</v>
      </c>
      <c r="C161" t="s">
        <v>21</v>
      </c>
      <c r="D161" t="s">
        <v>35</v>
      </c>
      <c r="E161" t="s">
        <v>14</v>
      </c>
      <c r="F161" t="s">
        <v>15</v>
      </c>
      <c r="G161">
        <v>7</v>
      </c>
      <c r="H161" s="3">
        <v>16250</v>
      </c>
      <c r="I161" s="3">
        <v>113750</v>
      </c>
      <c r="J161" s="3">
        <v>85170</v>
      </c>
      <c r="K161" s="3">
        <v>28580</v>
      </c>
    </row>
    <row r="162" spans="1:11">
      <c r="A162" t="s">
        <v>194</v>
      </c>
      <c r="B162" s="2">
        <v>46195</v>
      </c>
      <c r="C162" t="s">
        <v>17</v>
      </c>
      <c r="D162" t="s">
        <v>13</v>
      </c>
      <c r="E162" t="s">
        <v>55</v>
      </c>
      <c r="F162" t="s">
        <v>15</v>
      </c>
      <c r="G162">
        <v>7</v>
      </c>
      <c r="H162" s="3">
        <v>15970</v>
      </c>
      <c r="I162" s="3">
        <v>111790</v>
      </c>
      <c r="J162" s="3">
        <v>94540</v>
      </c>
      <c r="K162" s="3">
        <v>17250</v>
      </c>
    </row>
    <row r="163" spans="1:11">
      <c r="A163" t="s">
        <v>195</v>
      </c>
      <c r="B163" s="2">
        <v>46082</v>
      </c>
      <c r="C163" t="s">
        <v>26</v>
      </c>
      <c r="D163" t="s">
        <v>39</v>
      </c>
      <c r="E163" t="s">
        <v>33</v>
      </c>
      <c r="F163" t="s">
        <v>31</v>
      </c>
      <c r="G163">
        <v>1</v>
      </c>
      <c r="H163" s="3">
        <v>16380</v>
      </c>
      <c r="I163" s="3">
        <v>16380</v>
      </c>
      <c r="J163" s="3">
        <v>13860</v>
      </c>
      <c r="K163" s="3">
        <v>2520</v>
      </c>
    </row>
    <row r="164" spans="1:11">
      <c r="A164" t="s">
        <v>196</v>
      </c>
      <c r="B164" s="2">
        <v>46079</v>
      </c>
      <c r="C164" t="s">
        <v>21</v>
      </c>
      <c r="D164" t="s">
        <v>27</v>
      </c>
      <c r="E164" t="s">
        <v>14</v>
      </c>
      <c r="F164" t="s">
        <v>15</v>
      </c>
      <c r="G164">
        <v>8</v>
      </c>
      <c r="H164" s="3">
        <v>19470</v>
      </c>
      <c r="I164" s="3">
        <v>155760</v>
      </c>
      <c r="J164" s="3">
        <v>107870</v>
      </c>
      <c r="K164" s="3">
        <v>47890</v>
      </c>
    </row>
    <row r="165" spans="1:11">
      <c r="A165" t="s">
        <v>197</v>
      </c>
      <c r="B165" s="2">
        <v>46058</v>
      </c>
      <c r="C165" t="s">
        <v>17</v>
      </c>
      <c r="D165" t="s">
        <v>18</v>
      </c>
      <c r="E165" t="s">
        <v>43</v>
      </c>
      <c r="F165" t="s">
        <v>15</v>
      </c>
      <c r="G165">
        <v>1</v>
      </c>
      <c r="H165" s="3">
        <v>43240</v>
      </c>
      <c r="I165" s="3">
        <v>43240</v>
      </c>
      <c r="J165" s="3">
        <v>31920</v>
      </c>
      <c r="K165" s="3">
        <v>11320</v>
      </c>
    </row>
    <row r="166" spans="1:11">
      <c r="A166" t="s">
        <v>198</v>
      </c>
      <c r="B166" s="2">
        <v>46160</v>
      </c>
      <c r="C166" t="s">
        <v>21</v>
      </c>
      <c r="D166" t="s">
        <v>39</v>
      </c>
      <c r="E166" t="s">
        <v>41</v>
      </c>
      <c r="F166" t="s">
        <v>24</v>
      </c>
      <c r="G166">
        <v>7</v>
      </c>
      <c r="H166" s="3">
        <v>2480</v>
      </c>
      <c r="I166" s="3">
        <v>17360</v>
      </c>
      <c r="J166" s="3">
        <v>13560</v>
      </c>
      <c r="K166" s="3">
        <v>3800</v>
      </c>
    </row>
    <row r="167" spans="1:11">
      <c r="A167" t="s">
        <v>199</v>
      </c>
      <c r="B167" s="2">
        <v>46213</v>
      </c>
      <c r="C167" t="s">
        <v>21</v>
      </c>
      <c r="D167" t="s">
        <v>35</v>
      </c>
      <c r="E167" t="s">
        <v>41</v>
      </c>
      <c r="F167" t="s">
        <v>24</v>
      </c>
      <c r="G167">
        <v>7</v>
      </c>
      <c r="H167" s="3">
        <v>2580</v>
      </c>
      <c r="I167" s="3">
        <v>18060</v>
      </c>
      <c r="J167" s="3">
        <v>14810</v>
      </c>
      <c r="K167" s="3">
        <v>3250</v>
      </c>
    </row>
    <row r="168" spans="1:11">
      <c r="A168" t="s">
        <v>200</v>
      </c>
      <c r="B168" s="2">
        <v>46031</v>
      </c>
      <c r="C168" t="s">
        <v>26</v>
      </c>
      <c r="D168" t="s">
        <v>27</v>
      </c>
      <c r="E168" t="s">
        <v>28</v>
      </c>
      <c r="F168" t="s">
        <v>24</v>
      </c>
      <c r="G168">
        <v>4</v>
      </c>
      <c r="H168" s="3">
        <v>3460</v>
      </c>
      <c r="I168" s="3">
        <v>13840</v>
      </c>
      <c r="J168" s="3">
        <v>11740</v>
      </c>
      <c r="K168" s="3">
        <v>2100</v>
      </c>
    </row>
    <row r="169" spans="1:11">
      <c r="A169" t="s">
        <v>201</v>
      </c>
      <c r="B169" s="2">
        <v>46198</v>
      </c>
      <c r="C169" t="s">
        <v>17</v>
      </c>
      <c r="D169" t="s">
        <v>50</v>
      </c>
      <c r="E169" t="s">
        <v>28</v>
      </c>
      <c r="F169" t="s">
        <v>24</v>
      </c>
      <c r="G169">
        <v>6</v>
      </c>
      <c r="H169" s="3">
        <v>3190</v>
      </c>
      <c r="I169" s="3">
        <v>19140</v>
      </c>
      <c r="J169" s="3">
        <v>13130</v>
      </c>
      <c r="K169" s="3">
        <v>6010</v>
      </c>
    </row>
    <row r="170" spans="1:11">
      <c r="A170" t="s">
        <v>202</v>
      </c>
      <c r="B170" s="2">
        <v>46046</v>
      </c>
      <c r="C170" t="s">
        <v>12</v>
      </c>
      <c r="D170" t="s">
        <v>39</v>
      </c>
      <c r="E170" t="s">
        <v>37</v>
      </c>
      <c r="F170" t="s">
        <v>24</v>
      </c>
      <c r="G170">
        <v>1</v>
      </c>
      <c r="H170" s="3">
        <v>1090</v>
      </c>
      <c r="I170" s="3">
        <v>1090</v>
      </c>
      <c r="J170" s="3">
        <v>760</v>
      </c>
      <c r="K170" s="3">
        <v>330</v>
      </c>
    </row>
    <row r="171" spans="1:11">
      <c r="A171" t="s">
        <v>203</v>
      </c>
      <c r="B171" s="2">
        <v>46075</v>
      </c>
      <c r="C171" t="s">
        <v>12</v>
      </c>
      <c r="D171" t="s">
        <v>35</v>
      </c>
      <c r="E171" t="s">
        <v>14</v>
      </c>
      <c r="F171" t="s">
        <v>15</v>
      </c>
      <c r="G171">
        <v>4</v>
      </c>
      <c r="H171" s="3">
        <v>18310</v>
      </c>
      <c r="I171" s="3">
        <v>73240</v>
      </c>
      <c r="J171" s="3">
        <v>59700</v>
      </c>
      <c r="K171" s="3">
        <v>13540</v>
      </c>
    </row>
    <row r="172" spans="1:11">
      <c r="A172" t="s">
        <v>204</v>
      </c>
      <c r="B172" s="2">
        <v>46221</v>
      </c>
      <c r="C172" t="s">
        <v>12</v>
      </c>
      <c r="D172" t="s">
        <v>39</v>
      </c>
      <c r="E172" t="s">
        <v>41</v>
      </c>
      <c r="F172" t="s">
        <v>24</v>
      </c>
      <c r="G172">
        <v>1</v>
      </c>
      <c r="H172" s="3">
        <v>2390</v>
      </c>
      <c r="I172" s="3">
        <v>2390</v>
      </c>
      <c r="J172" s="3">
        <v>2050</v>
      </c>
      <c r="K172" s="3">
        <v>340</v>
      </c>
    </row>
    <row r="173" spans="1:11">
      <c r="A173" t="s">
        <v>205</v>
      </c>
      <c r="B173" s="2">
        <v>46087</v>
      </c>
      <c r="C173" t="s">
        <v>17</v>
      </c>
      <c r="D173" t="s">
        <v>35</v>
      </c>
      <c r="E173" t="s">
        <v>41</v>
      </c>
      <c r="F173" t="s">
        <v>24</v>
      </c>
      <c r="G173">
        <v>2</v>
      </c>
      <c r="H173" s="3">
        <v>2580</v>
      </c>
      <c r="I173" s="3">
        <v>5160</v>
      </c>
      <c r="J173" s="3">
        <v>3230</v>
      </c>
      <c r="K173" s="3">
        <v>1930</v>
      </c>
    </row>
    <row r="174" spans="1:11">
      <c r="A174" t="s">
        <v>206</v>
      </c>
      <c r="B174" s="2">
        <v>46225</v>
      </c>
      <c r="C174" t="s">
        <v>12</v>
      </c>
      <c r="D174" t="s">
        <v>13</v>
      </c>
      <c r="E174" t="s">
        <v>37</v>
      </c>
      <c r="F174" t="s">
        <v>24</v>
      </c>
      <c r="G174">
        <v>6</v>
      </c>
      <c r="H174" s="3">
        <v>1080</v>
      </c>
      <c r="I174" s="3">
        <v>6480</v>
      </c>
      <c r="J174" s="3">
        <v>4430</v>
      </c>
      <c r="K174" s="3">
        <v>2050</v>
      </c>
    </row>
    <row r="175" spans="1:11">
      <c r="A175" t="s">
        <v>207</v>
      </c>
      <c r="B175" s="2">
        <v>46130</v>
      </c>
      <c r="C175" t="s">
        <v>26</v>
      </c>
      <c r="D175" t="s">
        <v>39</v>
      </c>
      <c r="E175" t="s">
        <v>19</v>
      </c>
      <c r="F175" t="s">
        <v>15</v>
      </c>
      <c r="G175">
        <v>2</v>
      </c>
      <c r="H175" s="3">
        <v>29380</v>
      </c>
      <c r="I175" s="3">
        <v>58760</v>
      </c>
      <c r="J175" s="3">
        <v>43150</v>
      </c>
      <c r="K175" s="3">
        <v>15610</v>
      </c>
    </row>
    <row r="176" spans="1:11">
      <c r="A176" t="s">
        <v>208</v>
      </c>
      <c r="B176" s="2">
        <v>46174</v>
      </c>
      <c r="C176" t="s">
        <v>17</v>
      </c>
      <c r="D176" t="s">
        <v>13</v>
      </c>
      <c r="E176" t="s">
        <v>14</v>
      </c>
      <c r="F176" t="s">
        <v>15</v>
      </c>
      <c r="G176">
        <v>8</v>
      </c>
      <c r="H176" s="3">
        <v>18010</v>
      </c>
      <c r="I176" s="3">
        <v>144080</v>
      </c>
      <c r="J176" s="3">
        <v>122020</v>
      </c>
      <c r="K176" s="3">
        <v>22060</v>
      </c>
    </row>
    <row r="177" spans="1:11">
      <c r="A177" t="s">
        <v>209</v>
      </c>
      <c r="B177" s="2">
        <v>46223</v>
      </c>
      <c r="C177" t="s">
        <v>17</v>
      </c>
      <c r="D177" t="s">
        <v>50</v>
      </c>
      <c r="E177" t="s">
        <v>19</v>
      </c>
      <c r="F177" t="s">
        <v>15</v>
      </c>
      <c r="G177">
        <v>5</v>
      </c>
      <c r="H177" s="3">
        <v>27770</v>
      </c>
      <c r="I177" s="3">
        <v>138850</v>
      </c>
      <c r="J177" s="3">
        <v>118210</v>
      </c>
      <c r="K177" s="3">
        <v>20640</v>
      </c>
    </row>
    <row r="178" spans="1:11">
      <c r="A178" t="s">
        <v>210</v>
      </c>
      <c r="B178" s="2">
        <v>46125</v>
      </c>
      <c r="C178" t="s">
        <v>17</v>
      </c>
      <c r="D178" t="s">
        <v>27</v>
      </c>
      <c r="E178" t="s">
        <v>30</v>
      </c>
      <c r="F178" t="s">
        <v>31</v>
      </c>
      <c r="G178">
        <v>2</v>
      </c>
      <c r="H178" s="3">
        <v>11980</v>
      </c>
      <c r="I178" s="3">
        <v>23960</v>
      </c>
      <c r="J178" s="3">
        <v>20090</v>
      </c>
      <c r="K178" s="3">
        <v>3870</v>
      </c>
    </row>
    <row r="179" spans="1:11">
      <c r="A179" t="s">
        <v>211</v>
      </c>
      <c r="B179" s="2">
        <v>46105</v>
      </c>
      <c r="C179" t="s">
        <v>26</v>
      </c>
      <c r="D179" t="s">
        <v>50</v>
      </c>
      <c r="E179" t="s">
        <v>23</v>
      </c>
      <c r="F179" t="s">
        <v>24</v>
      </c>
      <c r="G179">
        <v>3</v>
      </c>
      <c r="H179" s="3">
        <v>4110</v>
      </c>
      <c r="I179" s="3">
        <v>12330</v>
      </c>
      <c r="J179" s="3">
        <v>8460</v>
      </c>
      <c r="K179" s="3">
        <v>3870</v>
      </c>
    </row>
    <row r="180" spans="1:11">
      <c r="A180" t="s">
        <v>212</v>
      </c>
      <c r="B180" s="2">
        <v>46175</v>
      </c>
      <c r="C180" t="s">
        <v>17</v>
      </c>
      <c r="D180" t="s">
        <v>13</v>
      </c>
      <c r="E180" t="s">
        <v>19</v>
      </c>
      <c r="F180" t="s">
        <v>15</v>
      </c>
      <c r="G180">
        <v>5</v>
      </c>
      <c r="H180" s="3">
        <v>27740</v>
      </c>
      <c r="I180" s="3">
        <v>138700</v>
      </c>
      <c r="J180" s="3">
        <v>106150</v>
      </c>
      <c r="K180" s="3">
        <v>32550</v>
      </c>
    </row>
    <row r="181" spans="1:11">
      <c r="A181" t="s">
        <v>213</v>
      </c>
      <c r="B181" s="2">
        <v>46052</v>
      </c>
      <c r="C181" t="s">
        <v>21</v>
      </c>
      <c r="D181" t="s">
        <v>35</v>
      </c>
      <c r="E181" t="s">
        <v>19</v>
      </c>
      <c r="F181" t="s">
        <v>15</v>
      </c>
      <c r="G181">
        <v>4</v>
      </c>
      <c r="H181" s="3">
        <v>27610</v>
      </c>
      <c r="I181" s="3">
        <v>110440</v>
      </c>
      <c r="J181" s="3">
        <v>92010</v>
      </c>
      <c r="K181" s="3">
        <v>18430</v>
      </c>
    </row>
    <row r="182" spans="1:11">
      <c r="A182" t="s">
        <v>214</v>
      </c>
      <c r="B182" s="2">
        <v>46234</v>
      </c>
      <c r="C182" t="s">
        <v>21</v>
      </c>
      <c r="D182" t="s">
        <v>35</v>
      </c>
      <c r="E182" t="s">
        <v>33</v>
      </c>
      <c r="F182" t="s">
        <v>31</v>
      </c>
      <c r="G182">
        <v>7</v>
      </c>
      <c r="H182" s="3">
        <v>15730</v>
      </c>
      <c r="I182" s="3">
        <v>110110</v>
      </c>
      <c r="J182" s="3">
        <v>70780</v>
      </c>
      <c r="K182" s="3">
        <v>39330</v>
      </c>
    </row>
    <row r="183" spans="1:11">
      <c r="A183" t="s">
        <v>215</v>
      </c>
      <c r="B183" s="2">
        <v>46193</v>
      </c>
      <c r="C183" t="s">
        <v>21</v>
      </c>
      <c r="D183" t="s">
        <v>27</v>
      </c>
      <c r="E183" t="s">
        <v>55</v>
      </c>
      <c r="F183" t="s">
        <v>15</v>
      </c>
      <c r="G183">
        <v>6</v>
      </c>
      <c r="H183" s="3">
        <v>16360</v>
      </c>
      <c r="I183" s="3">
        <v>98160</v>
      </c>
      <c r="J183" s="3">
        <v>77040</v>
      </c>
      <c r="K183" s="3">
        <v>21120</v>
      </c>
    </row>
    <row r="184" spans="1:11">
      <c r="A184" t="s">
        <v>216</v>
      </c>
      <c r="B184" s="2">
        <v>46046</v>
      </c>
      <c r="C184" t="s">
        <v>26</v>
      </c>
      <c r="D184" t="s">
        <v>18</v>
      </c>
      <c r="E184" t="s">
        <v>14</v>
      </c>
      <c r="F184" t="s">
        <v>15</v>
      </c>
      <c r="G184">
        <v>2</v>
      </c>
      <c r="H184" s="3">
        <v>17750</v>
      </c>
      <c r="I184" s="3">
        <v>35500</v>
      </c>
      <c r="J184" s="3">
        <v>28350</v>
      </c>
      <c r="K184" s="3">
        <v>7150</v>
      </c>
    </row>
    <row r="185" spans="1:11">
      <c r="A185" t="s">
        <v>217</v>
      </c>
      <c r="B185" s="2">
        <v>46165</v>
      </c>
      <c r="C185" t="s">
        <v>21</v>
      </c>
      <c r="D185" t="s">
        <v>13</v>
      </c>
      <c r="E185" t="s">
        <v>43</v>
      </c>
      <c r="F185" t="s">
        <v>15</v>
      </c>
      <c r="G185">
        <v>6</v>
      </c>
      <c r="H185" s="3">
        <v>46530</v>
      </c>
      <c r="I185" s="3">
        <v>279180</v>
      </c>
      <c r="J185" s="3">
        <v>200620</v>
      </c>
      <c r="K185" s="3">
        <v>78560</v>
      </c>
    </row>
    <row r="186" spans="1:11">
      <c r="A186" t="s">
        <v>218</v>
      </c>
      <c r="B186" s="2">
        <v>46036</v>
      </c>
      <c r="C186" t="s">
        <v>12</v>
      </c>
      <c r="D186" t="s">
        <v>18</v>
      </c>
      <c r="E186" t="s">
        <v>55</v>
      </c>
      <c r="F186" t="s">
        <v>15</v>
      </c>
      <c r="G186">
        <v>5</v>
      </c>
      <c r="H186" s="3">
        <v>14550</v>
      </c>
      <c r="I186" s="3">
        <v>72750</v>
      </c>
      <c r="J186" s="3">
        <v>55200</v>
      </c>
      <c r="K186" s="3">
        <v>17550</v>
      </c>
    </row>
    <row r="187" spans="1:11">
      <c r="A187" t="s">
        <v>219</v>
      </c>
      <c r="B187" s="2">
        <v>46191</v>
      </c>
      <c r="C187" t="s">
        <v>26</v>
      </c>
      <c r="D187" t="s">
        <v>27</v>
      </c>
      <c r="E187" t="s">
        <v>33</v>
      </c>
      <c r="F187" t="s">
        <v>31</v>
      </c>
      <c r="G187">
        <v>4</v>
      </c>
      <c r="H187" s="3">
        <v>17110</v>
      </c>
      <c r="I187" s="3">
        <v>68440</v>
      </c>
      <c r="J187" s="3">
        <v>48180</v>
      </c>
      <c r="K187" s="3">
        <v>20260</v>
      </c>
    </row>
    <row r="188" spans="1:11">
      <c r="A188" t="s">
        <v>220</v>
      </c>
      <c r="B188" s="2">
        <v>46218</v>
      </c>
      <c r="C188" t="s">
        <v>17</v>
      </c>
      <c r="D188" t="s">
        <v>39</v>
      </c>
      <c r="E188" t="s">
        <v>55</v>
      </c>
      <c r="F188" t="s">
        <v>15</v>
      </c>
      <c r="G188">
        <v>4</v>
      </c>
      <c r="H188" s="3">
        <v>15920</v>
      </c>
      <c r="I188" s="3">
        <v>63680</v>
      </c>
      <c r="J188" s="3">
        <v>52400</v>
      </c>
      <c r="K188" s="3">
        <v>11280</v>
      </c>
    </row>
    <row r="189" spans="1:11">
      <c r="A189" t="s">
        <v>221</v>
      </c>
      <c r="B189" s="2">
        <v>46191</v>
      </c>
      <c r="C189" t="s">
        <v>26</v>
      </c>
      <c r="D189" t="s">
        <v>35</v>
      </c>
      <c r="E189" t="s">
        <v>55</v>
      </c>
      <c r="F189" t="s">
        <v>15</v>
      </c>
      <c r="G189">
        <v>1</v>
      </c>
      <c r="H189" s="3">
        <v>14040</v>
      </c>
      <c r="I189" s="3">
        <v>14040</v>
      </c>
      <c r="J189" s="3">
        <v>11070</v>
      </c>
      <c r="K189" s="3">
        <v>2970</v>
      </c>
    </row>
    <row r="190" spans="1:11">
      <c r="A190" t="s">
        <v>222</v>
      </c>
      <c r="B190" s="2">
        <v>46112</v>
      </c>
      <c r="C190" t="s">
        <v>21</v>
      </c>
      <c r="D190" t="s">
        <v>27</v>
      </c>
      <c r="E190" t="s">
        <v>43</v>
      </c>
      <c r="F190" t="s">
        <v>15</v>
      </c>
      <c r="G190">
        <v>3</v>
      </c>
      <c r="H190" s="3">
        <v>48330</v>
      </c>
      <c r="I190" s="3">
        <v>144990</v>
      </c>
      <c r="J190" s="3">
        <v>109600</v>
      </c>
      <c r="K190" s="3">
        <v>35390</v>
      </c>
    </row>
    <row r="191" spans="1:11">
      <c r="A191" t="s">
        <v>223</v>
      </c>
      <c r="B191" s="2">
        <v>46059</v>
      </c>
      <c r="C191" t="s">
        <v>21</v>
      </c>
      <c r="D191" t="s">
        <v>50</v>
      </c>
      <c r="E191" t="s">
        <v>43</v>
      </c>
      <c r="F191" t="s">
        <v>15</v>
      </c>
      <c r="G191">
        <v>2</v>
      </c>
      <c r="H191" s="3">
        <v>47220</v>
      </c>
      <c r="I191" s="3">
        <v>94440</v>
      </c>
      <c r="J191" s="3">
        <v>63430</v>
      </c>
      <c r="K191" s="3">
        <v>31010</v>
      </c>
    </row>
    <row r="192" spans="1:11">
      <c r="A192" t="s">
        <v>224</v>
      </c>
      <c r="B192" s="2">
        <v>46110</v>
      </c>
      <c r="C192" t="s">
        <v>17</v>
      </c>
      <c r="D192" t="s">
        <v>27</v>
      </c>
      <c r="E192" t="s">
        <v>41</v>
      </c>
      <c r="F192" t="s">
        <v>24</v>
      </c>
      <c r="G192">
        <v>6</v>
      </c>
      <c r="H192" s="3">
        <v>2410</v>
      </c>
      <c r="I192" s="3">
        <v>14460</v>
      </c>
      <c r="J192" s="3">
        <v>10090</v>
      </c>
      <c r="K192" s="3">
        <v>4370</v>
      </c>
    </row>
    <row r="193" spans="1:11">
      <c r="A193" t="s">
        <v>225</v>
      </c>
      <c r="B193" s="2">
        <v>46062</v>
      </c>
      <c r="C193" t="s">
        <v>21</v>
      </c>
      <c r="D193" t="s">
        <v>50</v>
      </c>
      <c r="E193" t="s">
        <v>41</v>
      </c>
      <c r="F193" t="s">
        <v>24</v>
      </c>
      <c r="G193">
        <v>1</v>
      </c>
      <c r="H193" s="3">
        <v>2590</v>
      </c>
      <c r="I193" s="3">
        <v>2590</v>
      </c>
      <c r="J193" s="3">
        <v>1770</v>
      </c>
      <c r="K193" s="3">
        <v>820</v>
      </c>
    </row>
    <row r="194" spans="1:11">
      <c r="A194" t="s">
        <v>226</v>
      </c>
      <c r="B194" s="2">
        <v>46178</v>
      </c>
      <c r="C194" t="s">
        <v>17</v>
      </c>
      <c r="D194" t="s">
        <v>35</v>
      </c>
      <c r="E194" t="s">
        <v>33</v>
      </c>
      <c r="F194" t="s">
        <v>31</v>
      </c>
      <c r="G194">
        <v>7</v>
      </c>
      <c r="H194" s="3">
        <v>15270</v>
      </c>
      <c r="I194" s="3">
        <v>106890</v>
      </c>
      <c r="J194" s="3">
        <v>85640</v>
      </c>
      <c r="K194" s="3">
        <v>21250</v>
      </c>
    </row>
    <row r="195" spans="1:11">
      <c r="A195" t="s">
        <v>227</v>
      </c>
      <c r="B195" s="2">
        <v>46133</v>
      </c>
      <c r="C195" t="s">
        <v>26</v>
      </c>
      <c r="D195" t="s">
        <v>27</v>
      </c>
      <c r="E195" t="s">
        <v>14</v>
      </c>
      <c r="F195" t="s">
        <v>15</v>
      </c>
      <c r="G195">
        <v>5</v>
      </c>
      <c r="H195" s="3">
        <v>18640</v>
      </c>
      <c r="I195" s="3">
        <v>93200</v>
      </c>
      <c r="J195" s="3">
        <v>71050</v>
      </c>
      <c r="K195" s="3">
        <v>22150</v>
      </c>
    </row>
    <row r="196" spans="1:11">
      <c r="A196" t="s">
        <v>228</v>
      </c>
      <c r="B196" s="2">
        <v>46079</v>
      </c>
      <c r="C196" t="s">
        <v>12</v>
      </c>
      <c r="D196" t="s">
        <v>18</v>
      </c>
      <c r="E196" t="s">
        <v>30</v>
      </c>
      <c r="F196" t="s">
        <v>31</v>
      </c>
      <c r="G196">
        <v>1</v>
      </c>
      <c r="H196" s="3">
        <v>10820</v>
      </c>
      <c r="I196" s="3">
        <v>10820</v>
      </c>
      <c r="J196" s="3">
        <v>7490</v>
      </c>
      <c r="K196" s="3">
        <v>3330</v>
      </c>
    </row>
    <row r="197" spans="1:11">
      <c r="A197" t="s">
        <v>229</v>
      </c>
      <c r="B197" s="2">
        <v>46218</v>
      </c>
      <c r="C197" t="s">
        <v>21</v>
      </c>
      <c r="D197" t="s">
        <v>18</v>
      </c>
      <c r="E197" t="s">
        <v>55</v>
      </c>
      <c r="F197" t="s">
        <v>15</v>
      </c>
      <c r="G197">
        <v>5</v>
      </c>
      <c r="H197" s="3">
        <v>14480</v>
      </c>
      <c r="I197" s="3">
        <v>72400</v>
      </c>
      <c r="J197" s="3">
        <v>45020</v>
      </c>
      <c r="K197" s="3">
        <v>27380</v>
      </c>
    </row>
    <row r="198" spans="1:11">
      <c r="A198" t="s">
        <v>230</v>
      </c>
      <c r="B198" s="2">
        <v>46056</v>
      </c>
      <c r="C198" t="s">
        <v>26</v>
      </c>
      <c r="D198" t="s">
        <v>27</v>
      </c>
      <c r="E198" t="s">
        <v>30</v>
      </c>
      <c r="F198" t="s">
        <v>31</v>
      </c>
      <c r="G198">
        <v>4</v>
      </c>
      <c r="H198" s="3">
        <v>12000</v>
      </c>
      <c r="I198" s="3">
        <v>48000</v>
      </c>
      <c r="J198" s="3">
        <v>39360</v>
      </c>
      <c r="K198" s="3">
        <v>8640</v>
      </c>
    </row>
    <row r="199" spans="1:11">
      <c r="A199" t="s">
        <v>231</v>
      </c>
      <c r="B199" s="2">
        <v>46124</v>
      </c>
      <c r="C199" t="s">
        <v>26</v>
      </c>
      <c r="D199" t="s">
        <v>39</v>
      </c>
      <c r="E199" t="s">
        <v>43</v>
      </c>
      <c r="F199" t="s">
        <v>15</v>
      </c>
      <c r="G199">
        <v>7</v>
      </c>
      <c r="H199" s="3">
        <v>40670</v>
      </c>
      <c r="I199" s="3">
        <v>284690</v>
      </c>
      <c r="J199" s="3">
        <v>239450</v>
      </c>
      <c r="K199" s="3">
        <v>45240</v>
      </c>
    </row>
    <row r="200" spans="1:11">
      <c r="A200" t="s">
        <v>232</v>
      </c>
      <c r="B200" s="2">
        <v>46132</v>
      </c>
      <c r="C200" t="s">
        <v>17</v>
      </c>
      <c r="D200" t="s">
        <v>50</v>
      </c>
      <c r="E200" t="s">
        <v>23</v>
      </c>
      <c r="F200" t="s">
        <v>24</v>
      </c>
      <c r="G200">
        <v>7</v>
      </c>
      <c r="H200" s="3">
        <v>4690</v>
      </c>
      <c r="I200" s="3">
        <v>32830</v>
      </c>
      <c r="J200" s="3">
        <v>23650</v>
      </c>
      <c r="K200" s="3">
        <v>9180</v>
      </c>
    </row>
    <row r="201" spans="1:11">
      <c r="A201" t="s">
        <v>233</v>
      </c>
      <c r="B201" s="2">
        <v>46028</v>
      </c>
      <c r="C201" t="s">
        <v>26</v>
      </c>
      <c r="D201" t="s">
        <v>27</v>
      </c>
      <c r="E201" t="s">
        <v>28</v>
      </c>
      <c r="F201" t="s">
        <v>24</v>
      </c>
      <c r="G201">
        <v>3</v>
      </c>
      <c r="H201" s="3">
        <v>3710</v>
      </c>
      <c r="I201" s="3">
        <v>11130</v>
      </c>
      <c r="J201" s="3">
        <v>8550</v>
      </c>
      <c r="K201" s="3">
        <v>2580</v>
      </c>
    </row>
    <row r="202" spans="1:11">
      <c r="A202" t="s">
        <v>234</v>
      </c>
      <c r="B202" s="2">
        <v>46134</v>
      </c>
      <c r="C202" t="s">
        <v>17</v>
      </c>
      <c r="D202" t="s">
        <v>50</v>
      </c>
      <c r="E202" t="s">
        <v>14</v>
      </c>
      <c r="F202" t="s">
        <v>15</v>
      </c>
      <c r="G202">
        <v>4</v>
      </c>
      <c r="H202" s="3">
        <v>17770</v>
      </c>
      <c r="I202" s="3">
        <v>71080</v>
      </c>
      <c r="J202" s="3">
        <v>50900</v>
      </c>
      <c r="K202" s="3">
        <v>20180</v>
      </c>
    </row>
    <row r="203" spans="1:11">
      <c r="A203" t="s">
        <v>235</v>
      </c>
      <c r="B203" s="2">
        <v>46102</v>
      </c>
      <c r="C203" t="s">
        <v>17</v>
      </c>
      <c r="D203" t="s">
        <v>39</v>
      </c>
      <c r="E203" t="s">
        <v>28</v>
      </c>
      <c r="F203" t="s">
        <v>24</v>
      </c>
      <c r="G203">
        <v>4</v>
      </c>
      <c r="H203" s="3">
        <v>3380</v>
      </c>
      <c r="I203" s="3">
        <v>13520</v>
      </c>
      <c r="J203" s="3">
        <v>8930</v>
      </c>
      <c r="K203" s="3">
        <v>4590</v>
      </c>
    </row>
    <row r="204" spans="1:11">
      <c r="A204" t="s">
        <v>236</v>
      </c>
      <c r="B204" s="2">
        <v>46153</v>
      </c>
      <c r="C204" t="s">
        <v>12</v>
      </c>
      <c r="D204" t="s">
        <v>18</v>
      </c>
      <c r="E204" t="s">
        <v>37</v>
      </c>
      <c r="F204" t="s">
        <v>24</v>
      </c>
      <c r="G204">
        <v>6</v>
      </c>
      <c r="H204" s="3">
        <v>1160</v>
      </c>
      <c r="I204" s="3">
        <v>6960</v>
      </c>
      <c r="J204" s="3">
        <v>5920</v>
      </c>
      <c r="K204" s="3">
        <v>1040</v>
      </c>
    </row>
    <row r="205" spans="1:11">
      <c r="A205" t="s">
        <v>237</v>
      </c>
      <c r="B205" s="2">
        <v>46049</v>
      </c>
      <c r="C205" t="s">
        <v>17</v>
      </c>
      <c r="D205" t="s">
        <v>18</v>
      </c>
      <c r="E205" t="s">
        <v>41</v>
      </c>
      <c r="F205" t="s">
        <v>24</v>
      </c>
      <c r="G205">
        <v>5</v>
      </c>
      <c r="H205" s="3">
        <v>2350</v>
      </c>
      <c r="I205" s="3">
        <v>11750</v>
      </c>
      <c r="J205" s="3">
        <v>8980</v>
      </c>
      <c r="K205" s="3">
        <v>2770</v>
      </c>
    </row>
    <row r="206" spans="1:11">
      <c r="A206" t="s">
        <v>238</v>
      </c>
      <c r="B206" s="2">
        <v>46220</v>
      </c>
      <c r="C206" t="s">
        <v>21</v>
      </c>
      <c r="D206" t="s">
        <v>13</v>
      </c>
      <c r="E206" t="s">
        <v>33</v>
      </c>
      <c r="F206" t="s">
        <v>31</v>
      </c>
      <c r="G206">
        <v>8</v>
      </c>
      <c r="H206" s="3">
        <v>16810</v>
      </c>
      <c r="I206" s="3">
        <v>134480</v>
      </c>
      <c r="J206" s="3">
        <v>107900</v>
      </c>
      <c r="K206" s="3">
        <v>26580</v>
      </c>
    </row>
    <row r="207" spans="1:11">
      <c r="A207" t="s">
        <v>239</v>
      </c>
      <c r="B207" s="2">
        <v>46167</v>
      </c>
      <c r="C207" t="s">
        <v>12</v>
      </c>
      <c r="D207" t="s">
        <v>50</v>
      </c>
      <c r="E207" t="s">
        <v>23</v>
      </c>
      <c r="F207" t="s">
        <v>24</v>
      </c>
      <c r="G207">
        <v>6</v>
      </c>
      <c r="H207" s="3">
        <v>4830</v>
      </c>
      <c r="I207" s="3">
        <v>28980</v>
      </c>
      <c r="J207" s="3">
        <v>22330</v>
      </c>
      <c r="K207" s="3">
        <v>6650</v>
      </c>
    </row>
    <row r="208" spans="1:11">
      <c r="A208" t="s">
        <v>240</v>
      </c>
      <c r="B208" s="2">
        <v>46040</v>
      </c>
      <c r="C208" t="s">
        <v>17</v>
      </c>
      <c r="D208" t="s">
        <v>35</v>
      </c>
      <c r="E208" t="s">
        <v>33</v>
      </c>
      <c r="F208" t="s">
        <v>31</v>
      </c>
      <c r="G208">
        <v>8</v>
      </c>
      <c r="H208" s="3">
        <v>16420</v>
      </c>
      <c r="I208" s="3">
        <v>131360</v>
      </c>
      <c r="J208" s="3">
        <v>106550</v>
      </c>
      <c r="K208" s="3">
        <v>24810</v>
      </c>
    </row>
    <row r="209" spans="1:11">
      <c r="A209" t="s">
        <v>241</v>
      </c>
      <c r="B209" s="2">
        <v>46152</v>
      </c>
      <c r="C209" t="s">
        <v>26</v>
      </c>
      <c r="D209" t="s">
        <v>35</v>
      </c>
      <c r="E209" t="s">
        <v>14</v>
      </c>
      <c r="F209" t="s">
        <v>15</v>
      </c>
      <c r="G209">
        <v>5</v>
      </c>
      <c r="H209" s="3">
        <v>17860</v>
      </c>
      <c r="I209" s="3">
        <v>89300</v>
      </c>
      <c r="J209" s="3">
        <v>56170</v>
      </c>
      <c r="K209" s="3">
        <v>33130</v>
      </c>
    </row>
    <row r="210" spans="1:11">
      <c r="A210" t="s">
        <v>242</v>
      </c>
      <c r="B210" s="2">
        <v>46042</v>
      </c>
      <c r="C210" t="s">
        <v>17</v>
      </c>
      <c r="D210" t="s">
        <v>50</v>
      </c>
      <c r="E210" t="s">
        <v>14</v>
      </c>
      <c r="F210" t="s">
        <v>15</v>
      </c>
      <c r="G210">
        <v>7</v>
      </c>
      <c r="H210" s="3">
        <v>17870</v>
      </c>
      <c r="I210" s="3">
        <v>125090</v>
      </c>
      <c r="J210" s="3">
        <v>94200</v>
      </c>
      <c r="K210" s="3">
        <v>30890</v>
      </c>
    </row>
    <row r="211" spans="1:11">
      <c r="A211" t="s">
        <v>243</v>
      </c>
      <c r="B211" s="2">
        <v>46230</v>
      </c>
      <c r="C211" t="s">
        <v>12</v>
      </c>
      <c r="D211" t="s">
        <v>27</v>
      </c>
      <c r="E211" t="s">
        <v>23</v>
      </c>
      <c r="F211" t="s">
        <v>24</v>
      </c>
      <c r="G211">
        <v>4</v>
      </c>
      <c r="H211" s="3">
        <v>4340</v>
      </c>
      <c r="I211" s="3">
        <v>17360</v>
      </c>
      <c r="J211" s="3">
        <v>12740</v>
      </c>
      <c r="K211" s="3">
        <v>4620</v>
      </c>
    </row>
    <row r="212" spans="1:11">
      <c r="A212" t="s">
        <v>244</v>
      </c>
      <c r="B212" s="2">
        <v>46138</v>
      </c>
      <c r="C212" t="s">
        <v>12</v>
      </c>
      <c r="D212" t="s">
        <v>27</v>
      </c>
      <c r="E212" t="s">
        <v>14</v>
      </c>
      <c r="F212" t="s">
        <v>15</v>
      </c>
      <c r="G212">
        <v>6</v>
      </c>
      <c r="H212" s="3">
        <v>19740</v>
      </c>
      <c r="I212" s="3">
        <v>118440</v>
      </c>
      <c r="J212" s="3">
        <v>75830</v>
      </c>
      <c r="K212" s="3">
        <v>42610</v>
      </c>
    </row>
    <row r="213" spans="1:11">
      <c r="A213" t="s">
        <v>245</v>
      </c>
      <c r="B213" s="2">
        <v>46086</v>
      </c>
      <c r="C213" t="s">
        <v>26</v>
      </c>
      <c r="D213" t="s">
        <v>35</v>
      </c>
      <c r="E213" t="s">
        <v>33</v>
      </c>
      <c r="F213" t="s">
        <v>31</v>
      </c>
      <c r="G213">
        <v>8</v>
      </c>
      <c r="H213" s="3">
        <v>16080</v>
      </c>
      <c r="I213" s="3">
        <v>128640</v>
      </c>
      <c r="J213" s="3">
        <v>98580</v>
      </c>
      <c r="K213" s="3">
        <v>30060</v>
      </c>
    </row>
    <row r="214" spans="1:11">
      <c r="A214" t="s">
        <v>246</v>
      </c>
      <c r="B214" s="2">
        <v>46095</v>
      </c>
      <c r="C214" t="s">
        <v>17</v>
      </c>
      <c r="D214" t="s">
        <v>13</v>
      </c>
      <c r="E214" t="s">
        <v>30</v>
      </c>
      <c r="F214" t="s">
        <v>31</v>
      </c>
      <c r="G214">
        <v>7</v>
      </c>
      <c r="H214" s="3">
        <v>12660</v>
      </c>
      <c r="I214" s="3">
        <v>88620</v>
      </c>
      <c r="J214" s="3">
        <v>69380</v>
      </c>
      <c r="K214" s="3">
        <v>19240</v>
      </c>
    </row>
    <row r="215" spans="1:11">
      <c r="A215" t="s">
        <v>247</v>
      </c>
      <c r="B215" s="2">
        <v>46188</v>
      </c>
      <c r="C215" t="s">
        <v>21</v>
      </c>
      <c r="D215" t="s">
        <v>35</v>
      </c>
      <c r="E215" t="s">
        <v>28</v>
      </c>
      <c r="F215" t="s">
        <v>24</v>
      </c>
      <c r="G215">
        <v>2</v>
      </c>
      <c r="H215" s="3">
        <v>3380</v>
      </c>
      <c r="I215" s="3">
        <v>6760</v>
      </c>
      <c r="J215" s="3">
        <v>5100</v>
      </c>
      <c r="K215" s="3">
        <v>1660</v>
      </c>
    </row>
    <row r="216" spans="1:11">
      <c r="A216" t="s">
        <v>248</v>
      </c>
      <c r="B216" s="2">
        <v>46087</v>
      </c>
      <c r="C216" t="s">
        <v>12</v>
      </c>
      <c r="D216" t="s">
        <v>35</v>
      </c>
      <c r="E216" t="s">
        <v>23</v>
      </c>
      <c r="F216" t="s">
        <v>24</v>
      </c>
      <c r="G216">
        <v>3</v>
      </c>
      <c r="H216" s="3">
        <v>4350</v>
      </c>
      <c r="I216" s="3">
        <v>13050</v>
      </c>
      <c r="J216" s="3">
        <v>9920</v>
      </c>
      <c r="K216" s="3">
        <v>3130</v>
      </c>
    </row>
    <row r="217" spans="1:11">
      <c r="A217" t="s">
        <v>249</v>
      </c>
      <c r="B217" s="2">
        <v>46102</v>
      </c>
      <c r="C217" t="s">
        <v>26</v>
      </c>
      <c r="D217" t="s">
        <v>39</v>
      </c>
      <c r="E217" t="s">
        <v>30</v>
      </c>
      <c r="F217" t="s">
        <v>31</v>
      </c>
      <c r="G217">
        <v>3</v>
      </c>
      <c r="H217" s="3">
        <v>12230</v>
      </c>
      <c r="I217" s="3">
        <v>36690</v>
      </c>
      <c r="J217" s="3">
        <v>31010</v>
      </c>
      <c r="K217" s="3">
        <v>5680</v>
      </c>
    </row>
    <row r="218" spans="1:11">
      <c r="A218" t="s">
        <v>250</v>
      </c>
      <c r="B218" s="2">
        <v>46119</v>
      </c>
      <c r="C218" t="s">
        <v>17</v>
      </c>
      <c r="D218" t="s">
        <v>13</v>
      </c>
      <c r="E218" t="s">
        <v>28</v>
      </c>
      <c r="F218" t="s">
        <v>24</v>
      </c>
      <c r="G218">
        <v>3</v>
      </c>
      <c r="H218" s="3">
        <v>3620</v>
      </c>
      <c r="I218" s="3">
        <v>10860</v>
      </c>
      <c r="J218" s="3">
        <v>8890</v>
      </c>
      <c r="K218" s="3">
        <v>1970</v>
      </c>
    </row>
    <row r="219" spans="1:11">
      <c r="A219" t="s">
        <v>251</v>
      </c>
      <c r="B219" s="2">
        <v>46194</v>
      </c>
      <c r="C219" t="s">
        <v>12</v>
      </c>
      <c r="D219" t="s">
        <v>35</v>
      </c>
      <c r="E219" t="s">
        <v>30</v>
      </c>
      <c r="F219" t="s">
        <v>31</v>
      </c>
      <c r="G219">
        <v>6</v>
      </c>
      <c r="H219" s="3">
        <v>10840</v>
      </c>
      <c r="I219" s="3">
        <v>65040</v>
      </c>
      <c r="J219" s="3">
        <v>45150</v>
      </c>
      <c r="K219" s="3">
        <v>19890</v>
      </c>
    </row>
    <row r="220" spans="1:11">
      <c r="A220" t="s">
        <v>252</v>
      </c>
      <c r="B220" s="2">
        <v>46219</v>
      </c>
      <c r="C220" t="s">
        <v>17</v>
      </c>
      <c r="D220" t="s">
        <v>35</v>
      </c>
      <c r="E220" t="s">
        <v>33</v>
      </c>
      <c r="F220" t="s">
        <v>31</v>
      </c>
      <c r="G220">
        <v>4</v>
      </c>
      <c r="H220" s="3">
        <v>15120</v>
      </c>
      <c r="I220" s="3">
        <v>60480</v>
      </c>
      <c r="J220" s="3">
        <v>39490</v>
      </c>
      <c r="K220" s="3">
        <v>20990</v>
      </c>
    </row>
    <row r="221" spans="1:11">
      <c r="A221" t="s">
        <v>253</v>
      </c>
      <c r="B221" s="2">
        <v>46224</v>
      </c>
      <c r="C221" t="s">
        <v>12</v>
      </c>
      <c r="D221" t="s">
        <v>39</v>
      </c>
      <c r="E221" t="s">
        <v>14</v>
      </c>
      <c r="F221" t="s">
        <v>15</v>
      </c>
      <c r="G221">
        <v>1</v>
      </c>
      <c r="H221" s="3">
        <v>18580</v>
      </c>
      <c r="I221" s="3">
        <v>18580</v>
      </c>
      <c r="J221" s="3">
        <v>15430</v>
      </c>
      <c r="K221" s="3">
        <v>3150</v>
      </c>
    </row>
    <row r="222" spans="1:11">
      <c r="A222" t="s">
        <v>254</v>
      </c>
      <c r="B222" s="2">
        <v>46119</v>
      </c>
      <c r="C222" t="s">
        <v>12</v>
      </c>
      <c r="D222" t="s">
        <v>13</v>
      </c>
      <c r="E222" t="s">
        <v>41</v>
      </c>
      <c r="F222" t="s">
        <v>24</v>
      </c>
      <c r="G222">
        <v>3</v>
      </c>
      <c r="H222" s="3">
        <v>2340</v>
      </c>
      <c r="I222" s="3">
        <v>7020</v>
      </c>
      <c r="J222" s="3">
        <v>5520</v>
      </c>
      <c r="K222" s="3">
        <v>1500</v>
      </c>
    </row>
    <row r="223" spans="1:11">
      <c r="A223" t="s">
        <v>255</v>
      </c>
      <c r="B223" s="2">
        <v>46135</v>
      </c>
      <c r="C223" t="s">
        <v>21</v>
      </c>
      <c r="D223" t="s">
        <v>39</v>
      </c>
      <c r="E223" t="s">
        <v>43</v>
      </c>
      <c r="F223" t="s">
        <v>15</v>
      </c>
      <c r="G223">
        <v>7</v>
      </c>
      <c r="H223" s="3">
        <v>43780</v>
      </c>
      <c r="I223" s="3">
        <v>306460</v>
      </c>
      <c r="J223" s="3">
        <v>242930</v>
      </c>
      <c r="K223" s="3">
        <v>63530</v>
      </c>
    </row>
    <row r="224" spans="1:11">
      <c r="A224" t="s">
        <v>256</v>
      </c>
      <c r="B224" s="2">
        <v>46095</v>
      </c>
      <c r="C224" t="s">
        <v>21</v>
      </c>
      <c r="D224" t="s">
        <v>18</v>
      </c>
      <c r="E224" t="s">
        <v>33</v>
      </c>
      <c r="F224" t="s">
        <v>31</v>
      </c>
      <c r="G224">
        <v>4</v>
      </c>
      <c r="H224" s="3">
        <v>16110</v>
      </c>
      <c r="I224" s="3">
        <v>64440</v>
      </c>
      <c r="J224" s="3">
        <v>44740</v>
      </c>
      <c r="K224" s="3">
        <v>19700</v>
      </c>
    </row>
    <row r="225" spans="1:11">
      <c r="A225" t="s">
        <v>257</v>
      </c>
      <c r="B225" s="2">
        <v>46117</v>
      </c>
      <c r="C225" t="s">
        <v>21</v>
      </c>
      <c r="D225" t="s">
        <v>39</v>
      </c>
      <c r="E225" t="s">
        <v>23</v>
      </c>
      <c r="F225" t="s">
        <v>24</v>
      </c>
      <c r="G225">
        <v>8</v>
      </c>
      <c r="H225" s="3">
        <v>4470</v>
      </c>
      <c r="I225" s="3">
        <v>35760</v>
      </c>
      <c r="J225" s="3">
        <v>24590</v>
      </c>
      <c r="K225" s="3">
        <v>11170</v>
      </c>
    </row>
    <row r="226" spans="1:11">
      <c r="A226" t="s">
        <v>258</v>
      </c>
      <c r="B226" s="2">
        <v>46158</v>
      </c>
      <c r="C226" t="s">
        <v>12</v>
      </c>
      <c r="D226" t="s">
        <v>35</v>
      </c>
      <c r="E226" t="s">
        <v>30</v>
      </c>
      <c r="F226" t="s">
        <v>31</v>
      </c>
      <c r="G226">
        <v>3</v>
      </c>
      <c r="H226" s="3">
        <v>12760</v>
      </c>
      <c r="I226" s="3">
        <v>38280</v>
      </c>
      <c r="J226" s="3">
        <v>31090</v>
      </c>
      <c r="K226" s="3">
        <v>7190</v>
      </c>
    </row>
    <row r="227" spans="1:11">
      <c r="A227" t="s">
        <v>259</v>
      </c>
      <c r="B227" s="2">
        <v>46036</v>
      </c>
      <c r="C227" t="s">
        <v>17</v>
      </c>
      <c r="D227" t="s">
        <v>35</v>
      </c>
      <c r="E227" t="s">
        <v>33</v>
      </c>
      <c r="F227" t="s">
        <v>31</v>
      </c>
      <c r="G227">
        <v>6</v>
      </c>
      <c r="H227" s="3">
        <v>16170</v>
      </c>
      <c r="I227" s="3">
        <v>97020</v>
      </c>
      <c r="J227" s="3">
        <v>62540</v>
      </c>
      <c r="K227" s="3">
        <v>34480</v>
      </c>
    </row>
    <row r="228" spans="1:11">
      <c r="A228" t="s">
        <v>260</v>
      </c>
      <c r="B228" s="2">
        <v>46044</v>
      </c>
      <c r="C228" t="s">
        <v>21</v>
      </c>
      <c r="D228" t="s">
        <v>27</v>
      </c>
      <c r="E228" t="s">
        <v>41</v>
      </c>
      <c r="F228" t="s">
        <v>24</v>
      </c>
      <c r="G228">
        <v>5</v>
      </c>
      <c r="H228" s="3">
        <v>2470</v>
      </c>
      <c r="I228" s="3">
        <v>12350</v>
      </c>
      <c r="J228" s="3">
        <v>9180</v>
      </c>
      <c r="K228" s="3">
        <v>3170</v>
      </c>
    </row>
    <row r="229" spans="1:11">
      <c r="A229" t="s">
        <v>261</v>
      </c>
      <c r="B229" s="2">
        <v>46079</v>
      </c>
      <c r="C229" t="s">
        <v>21</v>
      </c>
      <c r="D229" t="s">
        <v>39</v>
      </c>
      <c r="E229" t="s">
        <v>33</v>
      </c>
      <c r="F229" t="s">
        <v>31</v>
      </c>
      <c r="G229">
        <v>6</v>
      </c>
      <c r="H229" s="3">
        <v>17380</v>
      </c>
      <c r="I229" s="3">
        <v>104280</v>
      </c>
      <c r="J229" s="3">
        <v>75040</v>
      </c>
      <c r="K229" s="3">
        <v>29240</v>
      </c>
    </row>
    <row r="230" spans="1:11">
      <c r="A230" t="s">
        <v>262</v>
      </c>
      <c r="B230" s="2">
        <v>46118</v>
      </c>
      <c r="C230" t="s">
        <v>17</v>
      </c>
      <c r="D230" t="s">
        <v>35</v>
      </c>
      <c r="E230" t="s">
        <v>37</v>
      </c>
      <c r="F230" t="s">
        <v>24</v>
      </c>
      <c r="G230">
        <v>7</v>
      </c>
      <c r="H230" s="3">
        <v>1320</v>
      </c>
      <c r="I230" s="3">
        <v>9240</v>
      </c>
      <c r="J230" s="3">
        <v>6560</v>
      </c>
      <c r="K230" s="3">
        <v>2680</v>
      </c>
    </row>
    <row r="231" spans="1:11">
      <c r="A231" t="s">
        <v>263</v>
      </c>
      <c r="B231" s="2">
        <v>46048</v>
      </c>
      <c r="C231" t="s">
        <v>21</v>
      </c>
      <c r="D231" t="s">
        <v>13</v>
      </c>
      <c r="E231" t="s">
        <v>28</v>
      </c>
      <c r="F231" t="s">
        <v>24</v>
      </c>
      <c r="G231">
        <v>3</v>
      </c>
      <c r="H231" s="3">
        <v>3250</v>
      </c>
      <c r="I231" s="3">
        <v>9750</v>
      </c>
      <c r="J231" s="3">
        <v>6720</v>
      </c>
      <c r="K231" s="3">
        <v>3030</v>
      </c>
    </row>
    <row r="232" spans="1:11">
      <c r="A232" t="s">
        <v>264</v>
      </c>
      <c r="B232" s="2">
        <v>46058</v>
      </c>
      <c r="C232" t="s">
        <v>17</v>
      </c>
      <c r="D232" t="s">
        <v>35</v>
      </c>
      <c r="E232" t="s">
        <v>33</v>
      </c>
      <c r="F232" t="s">
        <v>31</v>
      </c>
      <c r="G232">
        <v>8</v>
      </c>
      <c r="H232" s="3">
        <v>16370</v>
      </c>
      <c r="I232" s="3">
        <v>130960</v>
      </c>
      <c r="J232" s="3">
        <v>109670</v>
      </c>
      <c r="K232" s="3">
        <v>21290</v>
      </c>
    </row>
    <row r="233" spans="1:11">
      <c r="A233" t="s">
        <v>265</v>
      </c>
      <c r="B233" s="2">
        <v>46078</v>
      </c>
      <c r="C233" t="s">
        <v>26</v>
      </c>
      <c r="D233" t="s">
        <v>27</v>
      </c>
      <c r="E233" t="s">
        <v>41</v>
      </c>
      <c r="F233" t="s">
        <v>24</v>
      </c>
      <c r="G233">
        <v>7</v>
      </c>
      <c r="H233" s="3">
        <v>2310</v>
      </c>
      <c r="I233" s="3">
        <v>16170</v>
      </c>
      <c r="J233" s="3">
        <v>11140</v>
      </c>
      <c r="K233" s="3">
        <v>5030</v>
      </c>
    </row>
    <row r="234" spans="1:11">
      <c r="A234" t="s">
        <v>266</v>
      </c>
      <c r="B234" s="2">
        <v>46035</v>
      </c>
      <c r="C234" t="s">
        <v>17</v>
      </c>
      <c r="D234" t="s">
        <v>27</v>
      </c>
      <c r="E234" t="s">
        <v>37</v>
      </c>
      <c r="F234" t="s">
        <v>24</v>
      </c>
      <c r="G234">
        <v>7</v>
      </c>
      <c r="H234" s="3">
        <v>1230</v>
      </c>
      <c r="I234" s="3">
        <v>8610</v>
      </c>
      <c r="J234" s="3">
        <v>6630</v>
      </c>
      <c r="K234" s="3">
        <v>1980</v>
      </c>
    </row>
    <row r="235" spans="1:11">
      <c r="A235" t="s">
        <v>267</v>
      </c>
      <c r="B235" s="2">
        <v>46150</v>
      </c>
      <c r="C235" t="s">
        <v>12</v>
      </c>
      <c r="D235" t="s">
        <v>35</v>
      </c>
      <c r="E235" t="s">
        <v>23</v>
      </c>
      <c r="F235" t="s">
        <v>24</v>
      </c>
      <c r="G235">
        <v>1</v>
      </c>
      <c r="H235" s="3">
        <v>4620</v>
      </c>
      <c r="I235" s="3">
        <v>4620</v>
      </c>
      <c r="J235" s="3">
        <v>3500</v>
      </c>
      <c r="K235" s="3">
        <v>1120</v>
      </c>
    </row>
    <row r="236" spans="1:11">
      <c r="A236" t="s">
        <v>268</v>
      </c>
      <c r="B236" s="2">
        <v>46132</v>
      </c>
      <c r="C236" t="s">
        <v>17</v>
      </c>
      <c r="D236" t="s">
        <v>39</v>
      </c>
      <c r="E236" t="s">
        <v>43</v>
      </c>
      <c r="F236" t="s">
        <v>15</v>
      </c>
      <c r="G236">
        <v>6</v>
      </c>
      <c r="H236" s="3">
        <v>42670</v>
      </c>
      <c r="I236" s="3">
        <v>256020</v>
      </c>
      <c r="J236" s="3">
        <v>184330</v>
      </c>
      <c r="K236" s="3">
        <v>71690</v>
      </c>
    </row>
    <row r="237" spans="1:11">
      <c r="A237" t="s">
        <v>269</v>
      </c>
      <c r="B237" s="2">
        <v>46115</v>
      </c>
      <c r="C237" t="s">
        <v>21</v>
      </c>
      <c r="D237" t="s">
        <v>35</v>
      </c>
      <c r="E237" t="s">
        <v>14</v>
      </c>
      <c r="F237" t="s">
        <v>15</v>
      </c>
      <c r="G237">
        <v>1</v>
      </c>
      <c r="H237" s="3">
        <v>17610</v>
      </c>
      <c r="I237" s="3">
        <v>17610</v>
      </c>
      <c r="J237" s="3">
        <v>12910</v>
      </c>
      <c r="K237" s="3">
        <v>4700</v>
      </c>
    </row>
    <row r="238" spans="1:11">
      <c r="A238" t="s">
        <v>270</v>
      </c>
      <c r="B238" s="2">
        <v>46087</v>
      </c>
      <c r="C238" t="s">
        <v>17</v>
      </c>
      <c r="D238" t="s">
        <v>39</v>
      </c>
      <c r="E238" t="s">
        <v>43</v>
      </c>
      <c r="F238" t="s">
        <v>15</v>
      </c>
      <c r="G238">
        <v>6</v>
      </c>
      <c r="H238" s="3">
        <v>47600</v>
      </c>
      <c r="I238" s="3">
        <v>285600</v>
      </c>
      <c r="J238" s="3">
        <v>200710</v>
      </c>
      <c r="K238" s="3">
        <v>84890</v>
      </c>
    </row>
    <row r="239" spans="1:11">
      <c r="A239" t="s">
        <v>271</v>
      </c>
      <c r="B239" s="2">
        <v>46211</v>
      </c>
      <c r="C239" t="s">
        <v>12</v>
      </c>
      <c r="D239" t="s">
        <v>13</v>
      </c>
      <c r="E239" t="s">
        <v>28</v>
      </c>
      <c r="F239" t="s">
        <v>24</v>
      </c>
      <c r="G239">
        <v>3</v>
      </c>
      <c r="H239" s="3">
        <v>3180</v>
      </c>
      <c r="I239" s="3">
        <v>9540</v>
      </c>
      <c r="J239" s="3">
        <v>7160</v>
      </c>
      <c r="K239" s="3">
        <v>2380</v>
      </c>
    </row>
    <row r="240" spans="1:11">
      <c r="A240" t="s">
        <v>272</v>
      </c>
      <c r="B240" s="2">
        <v>46141</v>
      </c>
      <c r="C240" t="s">
        <v>21</v>
      </c>
      <c r="D240" t="s">
        <v>27</v>
      </c>
      <c r="E240" t="s">
        <v>33</v>
      </c>
      <c r="F240" t="s">
        <v>31</v>
      </c>
      <c r="G240">
        <v>3</v>
      </c>
      <c r="H240" s="3">
        <v>17000</v>
      </c>
      <c r="I240" s="3">
        <v>51000</v>
      </c>
      <c r="J240" s="3">
        <v>32390</v>
      </c>
      <c r="K240" s="3">
        <v>18610</v>
      </c>
    </row>
    <row r="241" spans="1:11">
      <c r="A241" t="s">
        <v>273</v>
      </c>
      <c r="B241" s="2">
        <v>46098</v>
      </c>
      <c r="C241" t="s">
        <v>26</v>
      </c>
      <c r="D241" t="s">
        <v>35</v>
      </c>
      <c r="E241" t="s">
        <v>37</v>
      </c>
      <c r="F241" t="s">
        <v>24</v>
      </c>
      <c r="G241">
        <v>1</v>
      </c>
      <c r="H241" s="3">
        <v>1270</v>
      </c>
      <c r="I241" s="3">
        <v>1270</v>
      </c>
      <c r="J241" s="3">
        <v>1060</v>
      </c>
      <c r="K241" s="3">
        <v>210</v>
      </c>
    </row>
    <row r="242" spans="1:11">
      <c r="A242" t="s">
        <v>274</v>
      </c>
      <c r="B242" s="2">
        <v>46154</v>
      </c>
      <c r="C242" t="s">
        <v>12</v>
      </c>
      <c r="D242" t="s">
        <v>35</v>
      </c>
      <c r="E242" t="s">
        <v>30</v>
      </c>
      <c r="F242" t="s">
        <v>31</v>
      </c>
      <c r="G242">
        <v>8</v>
      </c>
      <c r="H242" s="3">
        <v>11410</v>
      </c>
      <c r="I242" s="3">
        <v>91280</v>
      </c>
      <c r="J242" s="3">
        <v>73100</v>
      </c>
      <c r="K242" s="3">
        <v>18180</v>
      </c>
    </row>
    <row r="243" spans="1:11">
      <c r="A243" t="s">
        <v>275</v>
      </c>
      <c r="B243" s="2">
        <v>46114</v>
      </c>
      <c r="C243" t="s">
        <v>21</v>
      </c>
      <c r="D243" t="s">
        <v>50</v>
      </c>
      <c r="E243" t="s">
        <v>43</v>
      </c>
      <c r="F243" t="s">
        <v>15</v>
      </c>
      <c r="G243">
        <v>6</v>
      </c>
      <c r="H243" s="3">
        <v>42960</v>
      </c>
      <c r="I243" s="3">
        <v>257760</v>
      </c>
      <c r="J243" s="3">
        <v>209260</v>
      </c>
      <c r="K243" s="3">
        <v>48500</v>
      </c>
    </row>
    <row r="244" spans="1:11">
      <c r="A244" t="s">
        <v>276</v>
      </c>
      <c r="B244" s="2">
        <v>46213</v>
      </c>
      <c r="C244" t="s">
        <v>21</v>
      </c>
      <c r="D244" t="s">
        <v>35</v>
      </c>
      <c r="E244" t="s">
        <v>33</v>
      </c>
      <c r="F244" t="s">
        <v>31</v>
      </c>
      <c r="G244">
        <v>7</v>
      </c>
      <c r="H244" s="3">
        <v>15480</v>
      </c>
      <c r="I244" s="3">
        <v>108360</v>
      </c>
      <c r="J244" s="3">
        <v>72040</v>
      </c>
      <c r="K244" s="3">
        <v>36320</v>
      </c>
    </row>
    <row r="245" spans="1:11">
      <c r="A245" t="s">
        <v>277</v>
      </c>
      <c r="B245" s="2">
        <v>46227</v>
      </c>
      <c r="C245" t="s">
        <v>17</v>
      </c>
      <c r="D245" t="s">
        <v>50</v>
      </c>
      <c r="E245" t="s">
        <v>19</v>
      </c>
      <c r="F245" t="s">
        <v>15</v>
      </c>
      <c r="G245">
        <v>5</v>
      </c>
      <c r="H245" s="3">
        <v>29690</v>
      </c>
      <c r="I245" s="3">
        <v>148450</v>
      </c>
      <c r="J245" s="3">
        <v>117940</v>
      </c>
      <c r="K245" s="3">
        <v>30510</v>
      </c>
    </row>
    <row r="246" spans="1:11">
      <c r="A246" t="s">
        <v>278</v>
      </c>
      <c r="B246" s="2">
        <v>46177</v>
      </c>
      <c r="C246" t="s">
        <v>26</v>
      </c>
      <c r="D246" t="s">
        <v>35</v>
      </c>
      <c r="E246" t="s">
        <v>41</v>
      </c>
      <c r="F246" t="s">
        <v>24</v>
      </c>
      <c r="G246">
        <v>5</v>
      </c>
      <c r="H246" s="3">
        <v>2410</v>
      </c>
      <c r="I246" s="3">
        <v>12050</v>
      </c>
      <c r="J246" s="3">
        <v>7700</v>
      </c>
      <c r="K246" s="3">
        <v>4350</v>
      </c>
    </row>
    <row r="247" spans="1:11">
      <c r="A247" t="s">
        <v>279</v>
      </c>
      <c r="B247" s="2">
        <v>46137</v>
      </c>
      <c r="C247" t="s">
        <v>21</v>
      </c>
      <c r="D247" t="s">
        <v>27</v>
      </c>
      <c r="E247" t="s">
        <v>23</v>
      </c>
      <c r="F247" t="s">
        <v>24</v>
      </c>
      <c r="G247">
        <v>7</v>
      </c>
      <c r="H247" s="3">
        <v>4200</v>
      </c>
      <c r="I247" s="3">
        <v>29400</v>
      </c>
      <c r="J247" s="3">
        <v>21360</v>
      </c>
      <c r="K247" s="3">
        <v>8040</v>
      </c>
    </row>
    <row r="248" spans="1:11">
      <c r="A248" t="s">
        <v>280</v>
      </c>
      <c r="B248" s="2">
        <v>46209</v>
      </c>
      <c r="C248" t="s">
        <v>17</v>
      </c>
      <c r="D248" t="s">
        <v>27</v>
      </c>
      <c r="E248" t="s">
        <v>28</v>
      </c>
      <c r="F248" t="s">
        <v>24</v>
      </c>
      <c r="G248">
        <v>7</v>
      </c>
      <c r="H248" s="3">
        <v>3340</v>
      </c>
      <c r="I248" s="3">
        <v>23380</v>
      </c>
      <c r="J248" s="3">
        <v>19990</v>
      </c>
      <c r="K248" s="3">
        <v>3390</v>
      </c>
    </row>
    <row r="249" spans="1:11">
      <c r="A249" t="s">
        <v>281</v>
      </c>
      <c r="B249" s="2">
        <v>46194</v>
      </c>
      <c r="C249" t="s">
        <v>12</v>
      </c>
      <c r="D249" t="s">
        <v>27</v>
      </c>
      <c r="E249" t="s">
        <v>30</v>
      </c>
      <c r="F249" t="s">
        <v>31</v>
      </c>
      <c r="G249">
        <v>6</v>
      </c>
      <c r="H249" s="3">
        <v>12030</v>
      </c>
      <c r="I249" s="3">
        <v>72180</v>
      </c>
      <c r="J249" s="3">
        <v>57740</v>
      </c>
      <c r="K249" s="3">
        <v>14440</v>
      </c>
    </row>
    <row r="250" spans="1:11">
      <c r="A250" t="s">
        <v>282</v>
      </c>
      <c r="B250" s="2">
        <v>46059</v>
      </c>
      <c r="C250" t="s">
        <v>26</v>
      </c>
      <c r="D250" t="s">
        <v>35</v>
      </c>
      <c r="E250" t="s">
        <v>23</v>
      </c>
      <c r="F250" t="s">
        <v>24</v>
      </c>
      <c r="G250">
        <v>8</v>
      </c>
      <c r="H250" s="3">
        <v>4080</v>
      </c>
      <c r="I250" s="3">
        <v>32640</v>
      </c>
      <c r="J250" s="3">
        <v>20760</v>
      </c>
      <c r="K250" s="3">
        <v>11880</v>
      </c>
    </row>
    <row r="251" spans="1:11">
      <c r="A251" t="s">
        <v>283</v>
      </c>
      <c r="B251" s="2">
        <v>46121</v>
      </c>
      <c r="C251" t="s">
        <v>26</v>
      </c>
      <c r="D251" t="s">
        <v>35</v>
      </c>
      <c r="E251" t="s">
        <v>23</v>
      </c>
      <c r="F251" t="s">
        <v>24</v>
      </c>
      <c r="G251">
        <v>1</v>
      </c>
      <c r="H251" s="3">
        <v>4590</v>
      </c>
      <c r="I251" s="3">
        <v>4590</v>
      </c>
      <c r="J251" s="3">
        <v>3590</v>
      </c>
      <c r="K251" s="3">
        <v>1000</v>
      </c>
    </row>
    <row r="252" spans="1:11">
      <c r="A252" t="s">
        <v>284</v>
      </c>
      <c r="B252" s="2">
        <v>46136</v>
      </c>
      <c r="C252" t="s">
        <v>26</v>
      </c>
      <c r="D252" t="s">
        <v>18</v>
      </c>
      <c r="E252" t="s">
        <v>14</v>
      </c>
      <c r="F252" t="s">
        <v>15</v>
      </c>
      <c r="G252">
        <v>3</v>
      </c>
      <c r="H252" s="3">
        <v>18110</v>
      </c>
      <c r="I252" s="3">
        <v>54330</v>
      </c>
      <c r="J252" s="3">
        <v>38870</v>
      </c>
      <c r="K252" s="3">
        <v>15460</v>
      </c>
    </row>
    <row r="253" spans="1:11">
      <c r="A253" t="s">
        <v>285</v>
      </c>
      <c r="B253" s="2">
        <v>46052</v>
      </c>
      <c r="C253" t="s">
        <v>17</v>
      </c>
      <c r="D253" t="s">
        <v>35</v>
      </c>
      <c r="E253" t="s">
        <v>43</v>
      </c>
      <c r="F253" t="s">
        <v>15</v>
      </c>
      <c r="G253">
        <v>3</v>
      </c>
      <c r="H253" s="3">
        <v>44990</v>
      </c>
      <c r="I253" s="3">
        <v>134970</v>
      </c>
      <c r="J253" s="3">
        <v>96220</v>
      </c>
      <c r="K253" s="3">
        <v>38750</v>
      </c>
    </row>
    <row r="254" spans="1:11">
      <c r="A254" t="s">
        <v>286</v>
      </c>
      <c r="B254" s="2">
        <v>46221</v>
      </c>
      <c r="C254" t="s">
        <v>21</v>
      </c>
      <c r="D254" t="s">
        <v>18</v>
      </c>
      <c r="E254" t="s">
        <v>55</v>
      </c>
      <c r="F254" t="s">
        <v>15</v>
      </c>
      <c r="G254">
        <v>8</v>
      </c>
      <c r="H254" s="3">
        <v>14140</v>
      </c>
      <c r="I254" s="3">
        <v>113120</v>
      </c>
      <c r="J254" s="3">
        <v>86750</v>
      </c>
      <c r="K254" s="3">
        <v>26370</v>
      </c>
    </row>
    <row r="255" spans="1:11">
      <c r="A255" t="s">
        <v>287</v>
      </c>
      <c r="B255" s="2">
        <v>46054</v>
      </c>
      <c r="C255" t="s">
        <v>21</v>
      </c>
      <c r="D255" t="s">
        <v>27</v>
      </c>
      <c r="E255" t="s">
        <v>41</v>
      </c>
      <c r="F255" t="s">
        <v>24</v>
      </c>
      <c r="G255">
        <v>2</v>
      </c>
      <c r="H255" s="3">
        <v>2480</v>
      </c>
      <c r="I255" s="3">
        <v>4960</v>
      </c>
      <c r="J255" s="3">
        <v>4140</v>
      </c>
      <c r="K255" s="3">
        <v>820</v>
      </c>
    </row>
    <row r="256" spans="1:11">
      <c r="A256" t="s">
        <v>288</v>
      </c>
      <c r="B256" s="2">
        <v>46230</v>
      </c>
      <c r="C256" t="s">
        <v>26</v>
      </c>
      <c r="D256" t="s">
        <v>35</v>
      </c>
      <c r="E256" t="s">
        <v>28</v>
      </c>
      <c r="F256" t="s">
        <v>24</v>
      </c>
      <c r="G256">
        <v>6</v>
      </c>
      <c r="H256" s="3">
        <v>3650</v>
      </c>
      <c r="I256" s="3">
        <v>21900</v>
      </c>
      <c r="J256" s="3">
        <v>16470</v>
      </c>
      <c r="K256" s="3">
        <v>5430</v>
      </c>
    </row>
    <row r="257" spans="1:11">
      <c r="A257" t="s">
        <v>289</v>
      </c>
      <c r="B257" s="2">
        <v>46063</v>
      </c>
      <c r="C257" t="s">
        <v>12</v>
      </c>
      <c r="D257" t="s">
        <v>18</v>
      </c>
      <c r="E257" t="s">
        <v>41</v>
      </c>
      <c r="F257" t="s">
        <v>24</v>
      </c>
      <c r="G257">
        <v>6</v>
      </c>
      <c r="H257" s="3">
        <v>2500</v>
      </c>
      <c r="I257" s="3">
        <v>15000</v>
      </c>
      <c r="J257" s="3">
        <v>9740</v>
      </c>
      <c r="K257" s="3">
        <v>5260</v>
      </c>
    </row>
    <row r="258" spans="1:11">
      <c r="A258" t="s">
        <v>290</v>
      </c>
      <c r="B258" s="2">
        <v>46083</v>
      </c>
      <c r="C258" t="s">
        <v>21</v>
      </c>
      <c r="D258" t="s">
        <v>39</v>
      </c>
      <c r="E258" t="s">
        <v>33</v>
      </c>
      <c r="F258" t="s">
        <v>31</v>
      </c>
      <c r="G258">
        <v>1</v>
      </c>
      <c r="H258" s="3">
        <v>15550</v>
      </c>
      <c r="I258" s="3">
        <v>15550</v>
      </c>
      <c r="J258" s="3">
        <v>11780</v>
      </c>
      <c r="K258" s="3">
        <v>3770</v>
      </c>
    </row>
    <row r="259" spans="1:11">
      <c r="A259" t="s">
        <v>291</v>
      </c>
      <c r="B259" s="2">
        <v>46056</v>
      </c>
      <c r="C259" t="s">
        <v>21</v>
      </c>
      <c r="D259" t="s">
        <v>39</v>
      </c>
      <c r="E259" t="s">
        <v>23</v>
      </c>
      <c r="F259" t="s">
        <v>24</v>
      </c>
      <c r="G259">
        <v>2</v>
      </c>
      <c r="H259" s="3">
        <v>4110</v>
      </c>
      <c r="I259" s="3">
        <v>8220</v>
      </c>
      <c r="J259" s="3">
        <v>5880</v>
      </c>
      <c r="K259" s="3">
        <v>2340</v>
      </c>
    </row>
    <row r="260" spans="1:11">
      <c r="A260" t="s">
        <v>292</v>
      </c>
      <c r="B260" s="2">
        <v>46128</v>
      </c>
      <c r="C260" t="s">
        <v>17</v>
      </c>
      <c r="D260" t="s">
        <v>50</v>
      </c>
      <c r="E260" t="s">
        <v>30</v>
      </c>
      <c r="F260" t="s">
        <v>31</v>
      </c>
      <c r="G260">
        <v>2</v>
      </c>
      <c r="H260" s="3">
        <v>11100</v>
      </c>
      <c r="I260" s="3">
        <v>22200</v>
      </c>
      <c r="J260" s="3">
        <v>15450</v>
      </c>
      <c r="K260" s="3">
        <v>6750</v>
      </c>
    </row>
    <row r="261" spans="1:11">
      <c r="A261" t="s">
        <v>293</v>
      </c>
      <c r="B261" s="2">
        <v>46142</v>
      </c>
      <c r="C261" t="s">
        <v>12</v>
      </c>
      <c r="D261" t="s">
        <v>18</v>
      </c>
      <c r="E261" t="s">
        <v>19</v>
      </c>
      <c r="F261" t="s">
        <v>15</v>
      </c>
      <c r="G261">
        <v>6</v>
      </c>
      <c r="H261" s="3">
        <v>25920</v>
      </c>
      <c r="I261" s="3">
        <v>155520</v>
      </c>
      <c r="J261" s="3">
        <v>127370</v>
      </c>
      <c r="K261" s="3">
        <v>28150</v>
      </c>
    </row>
    <row r="262" spans="1:11">
      <c r="A262" t="s">
        <v>294</v>
      </c>
      <c r="B262" s="2">
        <v>46133</v>
      </c>
      <c r="C262" t="s">
        <v>26</v>
      </c>
      <c r="D262" t="s">
        <v>18</v>
      </c>
      <c r="E262" t="s">
        <v>19</v>
      </c>
      <c r="F262" t="s">
        <v>15</v>
      </c>
      <c r="G262">
        <v>1</v>
      </c>
      <c r="H262" s="3">
        <v>29860</v>
      </c>
      <c r="I262" s="3">
        <v>29860</v>
      </c>
      <c r="J262" s="3">
        <v>22230</v>
      </c>
      <c r="K262" s="3">
        <v>7630</v>
      </c>
    </row>
    <row r="263" spans="1:11">
      <c r="A263" t="s">
        <v>295</v>
      </c>
      <c r="B263" s="2">
        <v>46064</v>
      </c>
      <c r="C263" t="s">
        <v>26</v>
      </c>
      <c r="D263" t="s">
        <v>27</v>
      </c>
      <c r="E263" t="s">
        <v>28</v>
      </c>
      <c r="F263" t="s">
        <v>24</v>
      </c>
      <c r="G263">
        <v>4</v>
      </c>
      <c r="H263" s="3">
        <v>3390</v>
      </c>
      <c r="I263" s="3">
        <v>13560</v>
      </c>
      <c r="J263" s="3">
        <v>11470</v>
      </c>
      <c r="K263" s="3">
        <v>2090</v>
      </c>
    </row>
    <row r="264" spans="1:11">
      <c r="A264" t="s">
        <v>296</v>
      </c>
      <c r="B264" s="2">
        <v>46087</v>
      </c>
      <c r="C264" t="s">
        <v>17</v>
      </c>
      <c r="D264" t="s">
        <v>39</v>
      </c>
      <c r="E264" t="s">
        <v>37</v>
      </c>
      <c r="F264" t="s">
        <v>24</v>
      </c>
      <c r="G264">
        <v>5</v>
      </c>
      <c r="H264" s="3">
        <v>1110</v>
      </c>
      <c r="I264" s="3">
        <v>5550</v>
      </c>
      <c r="J264" s="3">
        <v>3840</v>
      </c>
      <c r="K264" s="3">
        <v>1710</v>
      </c>
    </row>
    <row r="265" spans="1:11">
      <c r="A265" t="s">
        <v>297</v>
      </c>
      <c r="B265" s="2">
        <v>46187</v>
      </c>
      <c r="C265" t="s">
        <v>26</v>
      </c>
      <c r="D265" t="s">
        <v>39</v>
      </c>
      <c r="E265" t="s">
        <v>41</v>
      </c>
      <c r="F265" t="s">
        <v>24</v>
      </c>
      <c r="G265">
        <v>3</v>
      </c>
      <c r="H265" s="3">
        <v>2340</v>
      </c>
      <c r="I265" s="3">
        <v>7020</v>
      </c>
      <c r="J265" s="3">
        <v>5400</v>
      </c>
      <c r="K265" s="3">
        <v>1620</v>
      </c>
    </row>
    <row r="266" spans="1:11">
      <c r="A266" t="s">
        <v>298</v>
      </c>
      <c r="B266" s="2">
        <v>46033</v>
      </c>
      <c r="C266" t="s">
        <v>26</v>
      </c>
      <c r="D266" t="s">
        <v>13</v>
      </c>
      <c r="E266" t="s">
        <v>43</v>
      </c>
      <c r="F266" t="s">
        <v>15</v>
      </c>
      <c r="G266">
        <v>2</v>
      </c>
      <c r="H266" s="3">
        <v>40910</v>
      </c>
      <c r="I266" s="3">
        <v>81820</v>
      </c>
      <c r="J266" s="3">
        <v>63320</v>
      </c>
      <c r="K266" s="3">
        <v>18500</v>
      </c>
    </row>
    <row r="267" spans="1:11">
      <c r="A267" t="s">
        <v>299</v>
      </c>
      <c r="B267" s="2">
        <v>46076</v>
      </c>
      <c r="C267" t="s">
        <v>26</v>
      </c>
      <c r="D267" t="s">
        <v>13</v>
      </c>
      <c r="E267" t="s">
        <v>23</v>
      </c>
      <c r="F267" t="s">
        <v>24</v>
      </c>
      <c r="G267">
        <v>7</v>
      </c>
      <c r="H267" s="3">
        <v>4610</v>
      </c>
      <c r="I267" s="3">
        <v>32270</v>
      </c>
      <c r="J267" s="3">
        <v>20240</v>
      </c>
      <c r="K267" s="3">
        <v>12030</v>
      </c>
    </row>
    <row r="268" spans="1:11">
      <c r="A268" t="s">
        <v>300</v>
      </c>
      <c r="B268" s="2">
        <v>46100</v>
      </c>
      <c r="C268" t="s">
        <v>26</v>
      </c>
      <c r="D268" t="s">
        <v>50</v>
      </c>
      <c r="E268" t="s">
        <v>33</v>
      </c>
      <c r="F268" t="s">
        <v>31</v>
      </c>
      <c r="G268">
        <v>4</v>
      </c>
      <c r="H268" s="3">
        <v>16980</v>
      </c>
      <c r="I268" s="3">
        <v>67920</v>
      </c>
      <c r="J268" s="3">
        <v>53280</v>
      </c>
      <c r="K268" s="3">
        <v>14640</v>
      </c>
    </row>
    <row r="269" spans="1:11">
      <c r="A269" t="s">
        <v>301</v>
      </c>
      <c r="B269" s="2">
        <v>46041</v>
      </c>
      <c r="C269" t="s">
        <v>12</v>
      </c>
      <c r="D269" t="s">
        <v>35</v>
      </c>
      <c r="E269" t="s">
        <v>43</v>
      </c>
      <c r="F269" t="s">
        <v>15</v>
      </c>
      <c r="G269">
        <v>3</v>
      </c>
      <c r="H269" s="3">
        <v>44460</v>
      </c>
      <c r="I269" s="3">
        <v>133380</v>
      </c>
      <c r="J269" s="3">
        <v>98200</v>
      </c>
      <c r="K269" s="3">
        <v>35180</v>
      </c>
    </row>
    <row r="270" spans="1:11">
      <c r="A270" t="s">
        <v>302</v>
      </c>
      <c r="B270" s="2">
        <v>46178</v>
      </c>
      <c r="C270" t="s">
        <v>26</v>
      </c>
      <c r="D270" t="s">
        <v>50</v>
      </c>
      <c r="E270" t="s">
        <v>41</v>
      </c>
      <c r="F270" t="s">
        <v>24</v>
      </c>
      <c r="G270">
        <v>6</v>
      </c>
      <c r="H270" s="3">
        <v>2680</v>
      </c>
      <c r="I270" s="3">
        <v>16080</v>
      </c>
      <c r="J270" s="3">
        <v>11200</v>
      </c>
      <c r="K270" s="3">
        <v>4880</v>
      </c>
    </row>
    <row r="271" spans="1:11">
      <c r="A271" t="s">
        <v>303</v>
      </c>
      <c r="B271" s="2">
        <v>46056</v>
      </c>
      <c r="C271" t="s">
        <v>26</v>
      </c>
      <c r="D271" t="s">
        <v>50</v>
      </c>
      <c r="E271" t="s">
        <v>28</v>
      </c>
      <c r="F271" t="s">
        <v>24</v>
      </c>
      <c r="G271">
        <v>2</v>
      </c>
      <c r="H271" s="3">
        <v>3370</v>
      </c>
      <c r="I271" s="3">
        <v>6740</v>
      </c>
      <c r="J271" s="3">
        <v>4930</v>
      </c>
      <c r="K271" s="3">
        <v>1810</v>
      </c>
    </row>
    <row r="272" spans="1:11">
      <c r="A272" t="s">
        <v>304</v>
      </c>
      <c r="B272" s="2">
        <v>46086</v>
      </c>
      <c r="C272" t="s">
        <v>21</v>
      </c>
      <c r="D272" t="s">
        <v>18</v>
      </c>
      <c r="E272" t="s">
        <v>41</v>
      </c>
      <c r="F272" t="s">
        <v>24</v>
      </c>
      <c r="G272">
        <v>2</v>
      </c>
      <c r="H272" s="3">
        <v>2280</v>
      </c>
      <c r="I272" s="3">
        <v>4560</v>
      </c>
      <c r="J272" s="3">
        <v>3860</v>
      </c>
      <c r="K272" s="3">
        <v>700</v>
      </c>
    </row>
    <row r="273" spans="1:11">
      <c r="A273" t="s">
        <v>305</v>
      </c>
      <c r="B273" s="2">
        <v>46063</v>
      </c>
      <c r="C273" t="s">
        <v>21</v>
      </c>
      <c r="D273" t="s">
        <v>50</v>
      </c>
      <c r="E273" t="s">
        <v>28</v>
      </c>
      <c r="F273" t="s">
        <v>24</v>
      </c>
      <c r="G273">
        <v>6</v>
      </c>
      <c r="H273" s="3">
        <v>3280</v>
      </c>
      <c r="I273" s="3">
        <v>19680</v>
      </c>
      <c r="J273" s="3">
        <v>12950</v>
      </c>
      <c r="K273" s="3">
        <v>6730</v>
      </c>
    </row>
    <row r="274" spans="1:11">
      <c r="A274" t="s">
        <v>306</v>
      </c>
      <c r="B274" s="2">
        <v>46101</v>
      </c>
      <c r="C274" t="s">
        <v>21</v>
      </c>
      <c r="D274" t="s">
        <v>18</v>
      </c>
      <c r="E274" t="s">
        <v>33</v>
      </c>
      <c r="F274" t="s">
        <v>31</v>
      </c>
      <c r="G274">
        <v>1</v>
      </c>
      <c r="H274" s="3">
        <v>14690</v>
      </c>
      <c r="I274" s="3">
        <v>14690</v>
      </c>
      <c r="J274" s="3">
        <v>10490</v>
      </c>
      <c r="K274" s="3">
        <v>4200</v>
      </c>
    </row>
    <row r="275" spans="1:11">
      <c r="A275" t="s">
        <v>307</v>
      </c>
      <c r="B275" s="2">
        <v>46078</v>
      </c>
      <c r="C275" t="s">
        <v>21</v>
      </c>
      <c r="D275" t="s">
        <v>35</v>
      </c>
      <c r="E275" t="s">
        <v>23</v>
      </c>
      <c r="F275" t="s">
        <v>24</v>
      </c>
      <c r="G275">
        <v>6</v>
      </c>
      <c r="H275" s="3">
        <v>4090</v>
      </c>
      <c r="I275" s="3">
        <v>24540</v>
      </c>
      <c r="J275" s="3">
        <v>16870</v>
      </c>
      <c r="K275" s="3">
        <v>7670</v>
      </c>
    </row>
    <row r="276" spans="1:11">
      <c r="A276" t="s">
        <v>308</v>
      </c>
      <c r="B276" s="2">
        <v>46160</v>
      </c>
      <c r="C276" t="s">
        <v>26</v>
      </c>
      <c r="D276" t="s">
        <v>50</v>
      </c>
      <c r="E276" t="s">
        <v>43</v>
      </c>
      <c r="F276" t="s">
        <v>15</v>
      </c>
      <c r="G276">
        <v>2</v>
      </c>
      <c r="H276" s="3">
        <v>44380</v>
      </c>
      <c r="I276" s="3">
        <v>88760</v>
      </c>
      <c r="J276" s="3">
        <v>73830</v>
      </c>
      <c r="K276" s="3">
        <v>14930</v>
      </c>
    </row>
    <row r="277" spans="1:11">
      <c r="A277" t="s">
        <v>309</v>
      </c>
      <c r="B277" s="2">
        <v>46116</v>
      </c>
      <c r="C277" t="s">
        <v>26</v>
      </c>
      <c r="D277" t="s">
        <v>39</v>
      </c>
      <c r="E277" t="s">
        <v>43</v>
      </c>
      <c r="F277" t="s">
        <v>15</v>
      </c>
      <c r="G277">
        <v>7</v>
      </c>
      <c r="H277" s="3">
        <v>40960</v>
      </c>
      <c r="I277" s="3">
        <v>286720</v>
      </c>
      <c r="J277" s="3">
        <v>216430</v>
      </c>
      <c r="K277" s="3">
        <v>70290</v>
      </c>
    </row>
    <row r="278" spans="1:11">
      <c r="A278" t="s">
        <v>310</v>
      </c>
      <c r="B278" s="2">
        <v>46096</v>
      </c>
      <c r="C278" t="s">
        <v>26</v>
      </c>
      <c r="D278" t="s">
        <v>39</v>
      </c>
      <c r="E278" t="s">
        <v>14</v>
      </c>
      <c r="F278" t="s">
        <v>15</v>
      </c>
      <c r="G278">
        <v>7</v>
      </c>
      <c r="H278" s="3">
        <v>18020</v>
      </c>
      <c r="I278" s="3">
        <v>126140</v>
      </c>
      <c r="J278" s="3">
        <v>101350</v>
      </c>
      <c r="K278" s="3">
        <v>24790</v>
      </c>
    </row>
    <row r="279" spans="1:11">
      <c r="A279" t="s">
        <v>311</v>
      </c>
      <c r="B279" s="2">
        <v>46197</v>
      </c>
      <c r="C279" t="s">
        <v>26</v>
      </c>
      <c r="D279" t="s">
        <v>35</v>
      </c>
      <c r="E279" t="s">
        <v>23</v>
      </c>
      <c r="F279" t="s">
        <v>24</v>
      </c>
      <c r="G279">
        <v>2</v>
      </c>
      <c r="H279" s="3">
        <v>4170</v>
      </c>
      <c r="I279" s="3">
        <v>8340</v>
      </c>
      <c r="J279" s="3">
        <v>5360</v>
      </c>
      <c r="K279" s="3">
        <v>2980</v>
      </c>
    </row>
    <row r="280" spans="1:11">
      <c r="A280" t="s">
        <v>312</v>
      </c>
      <c r="B280" s="2">
        <v>46165</v>
      </c>
      <c r="C280" t="s">
        <v>17</v>
      </c>
      <c r="D280" t="s">
        <v>27</v>
      </c>
      <c r="E280" t="s">
        <v>28</v>
      </c>
      <c r="F280" t="s">
        <v>24</v>
      </c>
      <c r="G280">
        <v>3</v>
      </c>
      <c r="H280" s="3">
        <v>3290</v>
      </c>
      <c r="I280" s="3">
        <v>9870</v>
      </c>
      <c r="J280" s="3">
        <v>7330</v>
      </c>
      <c r="K280" s="3">
        <v>2540</v>
      </c>
    </row>
    <row r="281" spans="1:11">
      <c r="A281" t="s">
        <v>313</v>
      </c>
      <c r="B281" s="2">
        <v>46032</v>
      </c>
      <c r="C281" t="s">
        <v>12</v>
      </c>
      <c r="D281" t="s">
        <v>39</v>
      </c>
      <c r="E281" t="s">
        <v>41</v>
      </c>
      <c r="F281" t="s">
        <v>24</v>
      </c>
      <c r="G281">
        <v>6</v>
      </c>
      <c r="H281" s="3">
        <v>2650</v>
      </c>
      <c r="I281" s="3">
        <v>15900</v>
      </c>
      <c r="J281" s="3">
        <v>11840</v>
      </c>
      <c r="K281" s="3">
        <v>4060</v>
      </c>
    </row>
    <row r="282" spans="1:11">
      <c r="A282" t="s">
        <v>314</v>
      </c>
      <c r="B282" s="2">
        <v>46154</v>
      </c>
      <c r="C282" t="s">
        <v>21</v>
      </c>
      <c r="D282" t="s">
        <v>39</v>
      </c>
      <c r="E282" t="s">
        <v>41</v>
      </c>
      <c r="F282" t="s">
        <v>24</v>
      </c>
      <c r="G282">
        <v>6</v>
      </c>
      <c r="H282" s="3">
        <v>2720</v>
      </c>
      <c r="I282" s="3">
        <v>16320</v>
      </c>
      <c r="J282" s="3">
        <v>11370</v>
      </c>
      <c r="K282" s="3">
        <v>4950</v>
      </c>
    </row>
    <row r="283" spans="1:11">
      <c r="A283" t="s">
        <v>315</v>
      </c>
      <c r="B283" s="2">
        <v>46212</v>
      </c>
      <c r="C283" t="s">
        <v>21</v>
      </c>
      <c r="D283" t="s">
        <v>13</v>
      </c>
      <c r="E283" t="s">
        <v>55</v>
      </c>
      <c r="F283" t="s">
        <v>15</v>
      </c>
      <c r="G283">
        <v>6</v>
      </c>
      <c r="H283" s="3">
        <v>15020</v>
      </c>
      <c r="I283" s="3">
        <v>90120</v>
      </c>
      <c r="J283" s="3">
        <v>66900</v>
      </c>
      <c r="K283" s="3">
        <v>23220</v>
      </c>
    </row>
    <row r="284" spans="1:11">
      <c r="A284" t="s">
        <v>316</v>
      </c>
      <c r="B284" s="2">
        <v>46167</v>
      </c>
      <c r="C284" t="s">
        <v>17</v>
      </c>
      <c r="D284" t="s">
        <v>50</v>
      </c>
      <c r="E284" t="s">
        <v>55</v>
      </c>
      <c r="F284" t="s">
        <v>15</v>
      </c>
      <c r="G284">
        <v>8</v>
      </c>
      <c r="H284" s="3">
        <v>15950</v>
      </c>
      <c r="I284" s="3">
        <v>127600</v>
      </c>
      <c r="J284" s="3">
        <v>90390</v>
      </c>
      <c r="K284" s="3">
        <v>37210</v>
      </c>
    </row>
    <row r="285" spans="1:11">
      <c r="A285" t="s">
        <v>317</v>
      </c>
      <c r="B285" s="2">
        <v>46172</v>
      </c>
      <c r="C285" t="s">
        <v>12</v>
      </c>
      <c r="D285" t="s">
        <v>13</v>
      </c>
      <c r="E285" t="s">
        <v>55</v>
      </c>
      <c r="F285" t="s">
        <v>15</v>
      </c>
      <c r="G285">
        <v>1</v>
      </c>
      <c r="H285" s="3">
        <v>15290</v>
      </c>
      <c r="I285" s="3">
        <v>15290</v>
      </c>
      <c r="J285" s="3">
        <v>10450</v>
      </c>
      <c r="K285" s="3">
        <v>4840</v>
      </c>
    </row>
    <row r="286" spans="1:11">
      <c r="A286" t="s">
        <v>318</v>
      </c>
      <c r="B286" s="2">
        <v>46036</v>
      </c>
      <c r="C286" t="s">
        <v>21</v>
      </c>
      <c r="D286" t="s">
        <v>18</v>
      </c>
      <c r="E286" t="s">
        <v>23</v>
      </c>
      <c r="F286" t="s">
        <v>24</v>
      </c>
      <c r="G286">
        <v>8</v>
      </c>
      <c r="H286" s="3">
        <v>4200</v>
      </c>
      <c r="I286" s="3">
        <v>33600</v>
      </c>
      <c r="J286" s="3">
        <v>25900</v>
      </c>
      <c r="K286" s="3">
        <v>7700</v>
      </c>
    </row>
    <row r="287" spans="1:11">
      <c r="A287" t="s">
        <v>319</v>
      </c>
      <c r="B287" s="2">
        <v>46233</v>
      </c>
      <c r="C287" t="s">
        <v>12</v>
      </c>
      <c r="D287" t="s">
        <v>27</v>
      </c>
      <c r="E287" t="s">
        <v>37</v>
      </c>
      <c r="F287" t="s">
        <v>24</v>
      </c>
      <c r="G287">
        <v>1</v>
      </c>
      <c r="H287" s="3">
        <v>1220</v>
      </c>
      <c r="I287" s="3">
        <v>1220</v>
      </c>
      <c r="J287" s="3">
        <v>960</v>
      </c>
      <c r="K287" s="3">
        <v>260</v>
      </c>
    </row>
    <row r="288" spans="1:11">
      <c r="A288" t="s">
        <v>320</v>
      </c>
      <c r="B288" s="2">
        <v>46135</v>
      </c>
      <c r="C288" t="s">
        <v>21</v>
      </c>
      <c r="D288" t="s">
        <v>39</v>
      </c>
      <c r="E288" t="s">
        <v>28</v>
      </c>
      <c r="F288" t="s">
        <v>24</v>
      </c>
      <c r="G288">
        <v>7</v>
      </c>
      <c r="H288" s="3">
        <v>3260</v>
      </c>
      <c r="I288" s="3">
        <v>22820</v>
      </c>
      <c r="J288" s="3">
        <v>17930</v>
      </c>
      <c r="K288" s="3">
        <v>4890</v>
      </c>
    </row>
    <row r="289" spans="1:11">
      <c r="A289" t="s">
        <v>321</v>
      </c>
      <c r="B289" s="2">
        <v>46221</v>
      </c>
      <c r="C289" t="s">
        <v>17</v>
      </c>
      <c r="D289" t="s">
        <v>13</v>
      </c>
      <c r="E289" t="s">
        <v>23</v>
      </c>
      <c r="F289" t="s">
        <v>24</v>
      </c>
      <c r="G289">
        <v>8</v>
      </c>
      <c r="H289" s="3">
        <v>4840</v>
      </c>
      <c r="I289" s="3">
        <v>38720</v>
      </c>
      <c r="J289" s="3">
        <v>30840</v>
      </c>
      <c r="K289" s="3">
        <v>7880</v>
      </c>
    </row>
    <row r="290" spans="1:11">
      <c r="A290" t="s">
        <v>322</v>
      </c>
      <c r="B290" s="2">
        <v>46058</v>
      </c>
      <c r="C290" t="s">
        <v>21</v>
      </c>
      <c r="D290" t="s">
        <v>39</v>
      </c>
      <c r="E290" t="s">
        <v>19</v>
      </c>
      <c r="F290" t="s">
        <v>15</v>
      </c>
      <c r="G290">
        <v>4</v>
      </c>
      <c r="H290" s="3">
        <v>28340</v>
      </c>
      <c r="I290" s="3">
        <v>113360</v>
      </c>
      <c r="J290" s="3">
        <v>97440</v>
      </c>
      <c r="K290" s="3">
        <v>15920</v>
      </c>
    </row>
    <row r="291" spans="1:11">
      <c r="A291" t="s">
        <v>323</v>
      </c>
      <c r="B291" s="2">
        <v>46119</v>
      </c>
      <c r="C291" t="s">
        <v>26</v>
      </c>
      <c r="D291" t="s">
        <v>13</v>
      </c>
      <c r="E291" t="s">
        <v>28</v>
      </c>
      <c r="F291" t="s">
        <v>24</v>
      </c>
      <c r="G291">
        <v>3</v>
      </c>
      <c r="H291" s="3">
        <v>3470</v>
      </c>
      <c r="I291" s="3">
        <v>10410</v>
      </c>
      <c r="J291" s="3">
        <v>7790</v>
      </c>
      <c r="K291" s="3">
        <v>2620</v>
      </c>
    </row>
    <row r="292" spans="1:11">
      <c r="A292" t="s">
        <v>324</v>
      </c>
      <c r="B292" s="2">
        <v>46220</v>
      </c>
      <c r="C292" t="s">
        <v>26</v>
      </c>
      <c r="D292" t="s">
        <v>18</v>
      </c>
      <c r="E292" t="s">
        <v>55</v>
      </c>
      <c r="F292" t="s">
        <v>15</v>
      </c>
      <c r="G292">
        <v>8</v>
      </c>
      <c r="H292" s="3">
        <v>14080</v>
      </c>
      <c r="I292" s="3">
        <v>112640</v>
      </c>
      <c r="J292" s="3">
        <v>76500</v>
      </c>
      <c r="K292" s="3">
        <v>36140</v>
      </c>
    </row>
    <row r="293" spans="1:11">
      <c r="A293" t="s">
        <v>325</v>
      </c>
      <c r="B293" s="2">
        <v>46099</v>
      </c>
      <c r="C293" t="s">
        <v>21</v>
      </c>
      <c r="D293" t="s">
        <v>35</v>
      </c>
      <c r="E293" t="s">
        <v>55</v>
      </c>
      <c r="F293" t="s">
        <v>15</v>
      </c>
      <c r="G293">
        <v>4</v>
      </c>
      <c r="H293" s="3">
        <v>15570</v>
      </c>
      <c r="I293" s="3">
        <v>62280</v>
      </c>
      <c r="J293" s="3">
        <v>45920</v>
      </c>
      <c r="K293" s="3">
        <v>16360</v>
      </c>
    </row>
    <row r="294" spans="1:11">
      <c r="A294" t="s">
        <v>326</v>
      </c>
      <c r="B294" s="2">
        <v>46166</v>
      </c>
      <c r="C294" t="s">
        <v>21</v>
      </c>
      <c r="D294" t="s">
        <v>50</v>
      </c>
      <c r="E294" t="s">
        <v>55</v>
      </c>
      <c r="F294" t="s">
        <v>15</v>
      </c>
      <c r="G294">
        <v>5</v>
      </c>
      <c r="H294" s="3">
        <v>13870</v>
      </c>
      <c r="I294" s="3">
        <v>69350</v>
      </c>
      <c r="J294" s="3">
        <v>54260</v>
      </c>
      <c r="K294" s="3">
        <v>15090</v>
      </c>
    </row>
    <row r="295" spans="1:11">
      <c r="A295" t="s">
        <v>327</v>
      </c>
      <c r="B295" s="2">
        <v>46232</v>
      </c>
      <c r="C295" t="s">
        <v>17</v>
      </c>
      <c r="D295" t="s">
        <v>35</v>
      </c>
      <c r="E295" t="s">
        <v>28</v>
      </c>
      <c r="F295" t="s">
        <v>24</v>
      </c>
      <c r="G295">
        <v>3</v>
      </c>
      <c r="H295" s="3">
        <v>3350</v>
      </c>
      <c r="I295" s="3">
        <v>10050</v>
      </c>
      <c r="J295" s="3">
        <v>6920</v>
      </c>
      <c r="K295" s="3">
        <v>3130</v>
      </c>
    </row>
    <row r="296" spans="1:11">
      <c r="A296" t="s">
        <v>328</v>
      </c>
      <c r="B296" s="2">
        <v>46136</v>
      </c>
      <c r="C296" t="s">
        <v>26</v>
      </c>
      <c r="D296" t="s">
        <v>39</v>
      </c>
      <c r="E296" t="s">
        <v>55</v>
      </c>
      <c r="F296" t="s">
        <v>15</v>
      </c>
      <c r="G296">
        <v>8</v>
      </c>
      <c r="H296" s="3">
        <v>14140</v>
      </c>
      <c r="I296" s="3">
        <v>113120</v>
      </c>
      <c r="J296" s="3">
        <v>92610</v>
      </c>
      <c r="K296" s="3">
        <v>20510</v>
      </c>
    </row>
    <row r="297" spans="1:11">
      <c r="A297" t="s">
        <v>329</v>
      </c>
      <c r="B297" s="2">
        <v>46201</v>
      </c>
      <c r="C297" t="s">
        <v>12</v>
      </c>
      <c r="D297" t="s">
        <v>18</v>
      </c>
      <c r="E297" t="s">
        <v>55</v>
      </c>
      <c r="F297" t="s">
        <v>15</v>
      </c>
      <c r="G297">
        <v>3</v>
      </c>
      <c r="H297" s="3">
        <v>13830</v>
      </c>
      <c r="I297" s="3">
        <v>41490</v>
      </c>
      <c r="J297" s="3">
        <v>33100</v>
      </c>
      <c r="K297" s="3">
        <v>8390</v>
      </c>
    </row>
    <row r="298" spans="1:11">
      <c r="A298" t="s">
        <v>330</v>
      </c>
      <c r="B298" s="2">
        <v>46035</v>
      </c>
      <c r="C298" t="s">
        <v>21</v>
      </c>
      <c r="D298" t="s">
        <v>35</v>
      </c>
      <c r="E298" t="s">
        <v>19</v>
      </c>
      <c r="F298" t="s">
        <v>15</v>
      </c>
      <c r="G298">
        <v>4</v>
      </c>
      <c r="H298" s="3">
        <v>28770</v>
      </c>
      <c r="I298" s="3">
        <v>115080</v>
      </c>
      <c r="J298" s="3">
        <v>72800</v>
      </c>
      <c r="K298" s="3">
        <v>42280</v>
      </c>
    </row>
    <row r="299" spans="1:11">
      <c r="A299" t="s">
        <v>331</v>
      </c>
      <c r="B299" s="2">
        <v>46206</v>
      </c>
      <c r="C299" t="s">
        <v>12</v>
      </c>
      <c r="D299" t="s">
        <v>50</v>
      </c>
      <c r="E299" t="s">
        <v>33</v>
      </c>
      <c r="F299" t="s">
        <v>31</v>
      </c>
      <c r="G299">
        <v>2</v>
      </c>
      <c r="H299" s="3">
        <v>16580</v>
      </c>
      <c r="I299" s="3">
        <v>33160</v>
      </c>
      <c r="J299" s="3">
        <v>21650</v>
      </c>
      <c r="K299" s="3">
        <v>11510</v>
      </c>
    </row>
    <row r="300" spans="1:11">
      <c r="A300" t="s">
        <v>332</v>
      </c>
      <c r="B300" s="2">
        <v>46190</v>
      </c>
      <c r="C300" t="s">
        <v>26</v>
      </c>
      <c r="D300" t="s">
        <v>35</v>
      </c>
      <c r="E300" t="s">
        <v>33</v>
      </c>
      <c r="F300" t="s">
        <v>31</v>
      </c>
      <c r="G300">
        <v>8</v>
      </c>
      <c r="H300" s="3">
        <v>16480</v>
      </c>
      <c r="I300" s="3">
        <v>131840</v>
      </c>
      <c r="J300" s="3">
        <v>105660</v>
      </c>
      <c r="K300" s="3">
        <v>26180</v>
      </c>
    </row>
    <row r="301" spans="1:11">
      <c r="A301" t="s">
        <v>333</v>
      </c>
      <c r="B301" s="2">
        <v>46096</v>
      </c>
      <c r="C301" t="s">
        <v>17</v>
      </c>
      <c r="D301" t="s">
        <v>18</v>
      </c>
      <c r="E301" t="s">
        <v>43</v>
      </c>
      <c r="F301" t="s">
        <v>15</v>
      </c>
      <c r="G301">
        <v>2</v>
      </c>
      <c r="H301" s="3">
        <v>46370</v>
      </c>
      <c r="I301" s="3">
        <v>92740</v>
      </c>
      <c r="J301" s="3">
        <v>62670</v>
      </c>
      <c r="K301" s="3">
        <v>30070</v>
      </c>
    </row>
  </sheetData>
  <autoFilter ref="A1:K301"/>
  <conditionalFormatting sqref="A2:A301">
    <cfRule type="duplicateValues" dxfId="38"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cols>
    <col min="1" max="1" width="24" customWidth="1"/>
    <col min="2" max="2" width="85" customWidth="1"/>
  </cols>
  <sheetData>
    <row r="1" spans="1:2">
      <c r="A1" s="1" t="s">
        <v>334</v>
      </c>
      <c r="B1" s="1" t="s">
        <v>335</v>
      </c>
    </row>
    <row r="2" spans="1:2">
      <c r="A2" t="s">
        <v>336</v>
      </c>
      <c r="B2" t="s">
        <v>337</v>
      </c>
    </row>
    <row r="3" spans="1:2">
      <c r="A3" t="s">
        <v>338</v>
      </c>
      <c r="B3" t="s">
        <v>339</v>
      </c>
    </row>
    <row r="4" spans="1:2">
      <c r="A4" t="s">
        <v>340</v>
      </c>
      <c r="B4" t="s">
        <v>341</v>
      </c>
    </row>
    <row r="5" spans="1:2">
      <c r="A5" t="s">
        <v>342</v>
      </c>
      <c r="B5" t="s">
        <v>343</v>
      </c>
    </row>
    <row r="6" spans="1:2">
      <c r="A6" t="s">
        <v>344</v>
      </c>
      <c r="B6" t="s">
        <v>345</v>
      </c>
    </row>
    <row r="7" spans="1:2">
      <c r="A7" t="s">
        <v>346</v>
      </c>
      <c r="B7" t="s">
        <v>347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1"/>
  <sheetViews>
    <sheetView workbookViewId="0">
      <selection activeCell="D12" sqref="D12"/>
    </sheetView>
  </sheetViews>
  <sheetFormatPr defaultRowHeight="15"/>
  <cols>
    <col min="2" max="2" width="4.42578125" bestFit="1" customWidth="1"/>
    <col min="3" max="3" width="22.5703125" bestFit="1" customWidth="1"/>
    <col min="4" max="5" width="15.140625" bestFit="1" customWidth="1"/>
    <col min="6" max="6" width="13.5703125" bestFit="1" customWidth="1"/>
    <col min="7" max="7" width="13.42578125" bestFit="1" customWidth="1"/>
    <col min="8" max="8" width="8.5703125" bestFit="1" customWidth="1"/>
    <col min="9" max="9" width="8.28515625" bestFit="1" customWidth="1"/>
  </cols>
  <sheetData>
    <row r="2" spans="2:9">
      <c r="B2" s="24" t="s">
        <v>359</v>
      </c>
      <c r="C2" s="24"/>
      <c r="D2" s="6"/>
    </row>
    <row r="3" spans="2:9">
      <c r="B3" s="4"/>
      <c r="C3" s="4"/>
    </row>
    <row r="4" spans="2:9" ht="45">
      <c r="B4" s="5"/>
      <c r="C4" s="25" t="s">
        <v>348</v>
      </c>
      <c r="D4" s="8" t="s">
        <v>349</v>
      </c>
      <c r="E4" s="8" t="s">
        <v>350</v>
      </c>
      <c r="F4" s="8" t="s">
        <v>351</v>
      </c>
      <c r="G4" s="8" t="s">
        <v>352</v>
      </c>
      <c r="H4" s="8" t="s">
        <v>353</v>
      </c>
      <c r="I4" s="8" t="s">
        <v>354</v>
      </c>
    </row>
    <row r="5" spans="2:9">
      <c r="B5" s="5"/>
      <c r="C5" s="25"/>
      <c r="D5" s="12">
        <f>SUM('Sales Data'!I2:I301)</f>
        <v>18625770</v>
      </c>
      <c r="E5" s="12">
        <f>SUM('Sales Data'!J2:J301)</f>
        <v>13948200</v>
      </c>
      <c r="F5" s="12">
        <f>SUM('Sales Data'!K2:K301)</f>
        <v>4677570</v>
      </c>
      <c r="G5" s="13">
        <f>SUM('Sales Data'!G2:G301)</f>
        <v>1346</v>
      </c>
      <c r="H5" s="13">
        <f>AVERAGE('Sales Data'!I2:I301)</f>
        <v>62085.9</v>
      </c>
      <c r="I5" s="13">
        <f>COUNTA('Sales Data'!A2:A301)</f>
        <v>300</v>
      </c>
    </row>
    <row r="8" spans="2:9">
      <c r="B8" s="24" t="s">
        <v>360</v>
      </c>
      <c r="C8" s="24"/>
    </row>
    <row r="9" spans="2:9">
      <c r="B9" s="5"/>
      <c r="C9" s="4" t="s">
        <v>2</v>
      </c>
      <c r="D9" s="8" t="s">
        <v>17</v>
      </c>
      <c r="E9" s="8" t="s">
        <v>12</v>
      </c>
      <c r="F9" s="8" t="s">
        <v>26</v>
      </c>
      <c r="G9" s="8" t="s">
        <v>21</v>
      </c>
    </row>
    <row r="10" spans="2:9">
      <c r="B10" s="5"/>
      <c r="C10" s="15" t="s">
        <v>349</v>
      </c>
      <c r="D10" s="11">
        <f>SUMIF('Sales Data'!$C:$C,D9,'Sales Data'!$K:$K)</f>
        <v>1202660</v>
      </c>
      <c r="E10" s="11">
        <f>SUMIF('Sales Data'!$C:$C,E9,'Sales Data'!$K:$K)</f>
        <v>727530</v>
      </c>
      <c r="F10" s="11">
        <f>SUMIF('Sales Data'!$C:$C,F9,'Sales Data'!$K:$K)</f>
        <v>1260710</v>
      </c>
      <c r="G10" s="11">
        <f>SUMIF('Sales Data'!$C:$C,G9,'Sales Data'!$K:$K)</f>
        <v>1486670</v>
      </c>
    </row>
    <row r="11" spans="2:9">
      <c r="B11" s="5"/>
    </row>
    <row r="12" spans="2:9">
      <c r="C12" s="9" t="s">
        <v>355</v>
      </c>
      <c r="D12" s="10" t="str">
        <f>INDEX(D9:G9,MATCH(MAX(D10:G10),D10:G10,0))</f>
        <v>West</v>
      </c>
    </row>
    <row r="13" spans="2:9">
      <c r="C13" s="9" t="s">
        <v>356</v>
      </c>
      <c r="D13" s="11">
        <f>MAX(D10:G10)</f>
        <v>1486670</v>
      </c>
    </row>
    <row r="16" spans="2:9">
      <c r="B16" s="24" t="s">
        <v>361</v>
      </c>
      <c r="C16" s="24"/>
    </row>
    <row r="17" spans="2:4">
      <c r="C17" s="8" t="s">
        <v>4</v>
      </c>
      <c r="D17" s="8" t="s">
        <v>349</v>
      </c>
    </row>
    <row r="18" spans="2:4">
      <c r="C18" t="s">
        <v>43</v>
      </c>
      <c r="D18" s="11">
        <f>SUMIF('Sales Data'!$E:$E,C18,'Sales Data'!$I:$I)</f>
        <v>4065840</v>
      </c>
    </row>
    <row r="19" spans="2:4">
      <c r="C19" t="s">
        <v>14</v>
      </c>
      <c r="D19" s="11">
        <f>SUMIF('Sales Data'!$E:$E,C19,'Sales Data'!$I:$I)</f>
        <v>2908430</v>
      </c>
    </row>
    <row r="20" spans="2:4">
      <c r="C20" t="s">
        <v>41</v>
      </c>
      <c r="D20" s="11">
        <f>SUMIF('Sales Data'!$E:$E,C20,'Sales Data'!$I:$I)</f>
        <v>397200</v>
      </c>
    </row>
    <row r="21" spans="2:4">
      <c r="C21" t="s">
        <v>37</v>
      </c>
      <c r="D21" s="11">
        <f>SUMIF('Sales Data'!$E:$E,C21,'Sales Data'!$I:$I)</f>
        <v>163860</v>
      </c>
    </row>
    <row r="22" spans="2:4">
      <c r="C22" t="s">
        <v>55</v>
      </c>
      <c r="D22" s="11">
        <f>SUMIF('Sales Data'!$E:$E,C22,'Sales Data'!$I:$I)</f>
        <v>2126380</v>
      </c>
    </row>
    <row r="23" spans="2:4">
      <c r="C23" t="s">
        <v>28</v>
      </c>
      <c r="D23" s="11">
        <f>SUMIF('Sales Data'!$E:$E,C23,'Sales Data'!$I:$I)</f>
        <v>403070</v>
      </c>
    </row>
    <row r="24" spans="2:4">
      <c r="C24" t="s">
        <v>30</v>
      </c>
      <c r="D24" s="11">
        <f>SUMIF('Sales Data'!$E:$E,C24,'Sales Data'!$I:$I)</f>
        <v>1398220</v>
      </c>
    </row>
    <row r="25" spans="2:4">
      <c r="C25" t="s">
        <v>33</v>
      </c>
      <c r="D25" s="11">
        <f>SUMIF('Sales Data'!$E:$E,C25,'Sales Data'!$I:$I)</f>
        <v>2765060</v>
      </c>
    </row>
    <row r="26" spans="2:4">
      <c r="C26" t="s">
        <v>19</v>
      </c>
      <c r="D26" s="11">
        <f>SUMIF('Sales Data'!$E:$E,C26,'Sales Data'!$I:$I)</f>
        <v>3900840</v>
      </c>
    </row>
    <row r="27" spans="2:4">
      <c r="C27" t="s">
        <v>23</v>
      </c>
      <c r="D27" s="11">
        <f>SUMIF('Sales Data'!$E:$E,C27,'Sales Data'!$I:$I)</f>
        <v>496870</v>
      </c>
    </row>
    <row r="29" spans="2:4">
      <c r="B29" s="24" t="s">
        <v>362</v>
      </c>
      <c r="C29" s="24"/>
    </row>
    <row r="30" spans="2:4">
      <c r="C30" s="9" t="s">
        <v>357</v>
      </c>
      <c r="D30" s="14" t="str">
        <f>INDEX(C18:C27,MATCH(MAX(D18:D27),D18:D27,0))</f>
        <v>Laptop</v>
      </c>
    </row>
    <row r="31" spans="2:4">
      <c r="C31" s="9" t="s">
        <v>358</v>
      </c>
      <c r="D31" s="16">
        <f>MAX(D18:D27)</f>
        <v>4065840</v>
      </c>
    </row>
  </sheetData>
  <mergeCells count="5">
    <mergeCell ref="B2:C2"/>
    <mergeCell ref="B8:C8"/>
    <mergeCell ref="B16:C16"/>
    <mergeCell ref="B29:C29"/>
    <mergeCell ref="C4: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4"/>
  <sheetViews>
    <sheetView workbookViewId="0">
      <selection activeCell="K13" sqref="K13"/>
    </sheetView>
  </sheetViews>
  <sheetFormatPr defaultRowHeight="15"/>
  <cols>
    <col min="1" max="1" width="13.140625" bestFit="1" customWidth="1"/>
    <col min="2" max="2" width="20" bestFit="1" customWidth="1"/>
    <col min="3" max="3" width="13.42578125" bestFit="1" customWidth="1"/>
    <col min="4" max="4" width="13.140625" bestFit="1" customWidth="1"/>
    <col min="5" max="5" width="20" bestFit="1" customWidth="1"/>
    <col min="7" max="7" width="13.140625" bestFit="1" customWidth="1"/>
    <col min="8" max="8" width="20" bestFit="1" customWidth="1"/>
    <col min="9" max="9" width="13.42578125" bestFit="1" customWidth="1"/>
    <col min="10" max="10" width="13.140625" bestFit="1" customWidth="1"/>
    <col min="11" max="11" width="20" bestFit="1" customWidth="1"/>
    <col min="12" max="12" width="13.42578125" bestFit="1" customWidth="1"/>
  </cols>
  <sheetData>
    <row r="2" spans="1:2">
      <c r="A2" s="24" t="s">
        <v>367</v>
      </c>
      <c r="B2" s="24"/>
    </row>
    <row r="3" spans="1:2">
      <c r="A3" s="17" t="s">
        <v>363</v>
      </c>
      <c r="B3" t="s">
        <v>365</v>
      </c>
    </row>
    <row r="4" spans="1:2">
      <c r="A4" s="18" t="s">
        <v>26</v>
      </c>
      <c r="B4" s="16">
        <v>700120</v>
      </c>
    </row>
    <row r="5" spans="1:2">
      <c r="A5" s="18" t="s">
        <v>12</v>
      </c>
      <c r="B5" s="16">
        <v>272350</v>
      </c>
    </row>
    <row r="6" spans="1:2">
      <c r="A6" s="18" t="s">
        <v>17</v>
      </c>
      <c r="B6" s="16">
        <v>337300</v>
      </c>
    </row>
    <row r="7" spans="1:2">
      <c r="A7" s="18" t="s">
        <v>21</v>
      </c>
      <c r="B7" s="16">
        <v>1269920</v>
      </c>
    </row>
    <row r="8" spans="1:2">
      <c r="A8" s="18" t="s">
        <v>364</v>
      </c>
      <c r="B8" s="16">
        <v>2579690</v>
      </c>
    </row>
    <row r="16" spans="1:2">
      <c r="A16" s="24" t="s">
        <v>378</v>
      </c>
      <c r="B16" s="24"/>
    </row>
    <row r="17" spans="1:2">
      <c r="A17" s="17" t="s">
        <v>363</v>
      </c>
      <c r="B17" t="s">
        <v>365</v>
      </c>
    </row>
    <row r="18" spans="1:2">
      <c r="A18" s="19" t="s">
        <v>369</v>
      </c>
      <c r="B18" s="7">
        <v>2869930</v>
      </c>
    </row>
    <row r="19" spans="1:2">
      <c r="A19" s="19" t="s">
        <v>370</v>
      </c>
      <c r="B19" s="7">
        <v>1992680</v>
      </c>
    </row>
    <row r="20" spans="1:2">
      <c r="A20" s="19" t="s">
        <v>371</v>
      </c>
      <c r="B20" s="7">
        <v>2162990</v>
      </c>
    </row>
    <row r="21" spans="1:2">
      <c r="A21" s="19" t="s">
        <v>372</v>
      </c>
      <c r="B21" s="7">
        <v>3546870</v>
      </c>
    </row>
    <row r="22" spans="1:2">
      <c r="A22" s="19" t="s">
        <v>373</v>
      </c>
      <c r="B22" s="7">
        <v>2318910</v>
      </c>
    </row>
    <row r="23" spans="1:2">
      <c r="A23" s="19" t="s">
        <v>374</v>
      </c>
      <c r="B23" s="7">
        <v>2740140</v>
      </c>
    </row>
    <row r="24" spans="1:2">
      <c r="A24" s="19" t="s">
        <v>375</v>
      </c>
      <c r="B24" s="7">
        <v>2994250</v>
      </c>
    </row>
    <row r="25" spans="1:2">
      <c r="A25" s="19" t="s">
        <v>364</v>
      </c>
      <c r="B25" s="7">
        <v>18625770</v>
      </c>
    </row>
    <row r="27" spans="1:2">
      <c r="A27" s="24" t="s">
        <v>376</v>
      </c>
      <c r="B27" s="24"/>
    </row>
    <row r="28" spans="1:2">
      <c r="A28" s="26">
        <f>MAX(B18:B24)</f>
        <v>3546870</v>
      </c>
      <c r="B28" s="27"/>
    </row>
    <row r="29" spans="1:2">
      <c r="A29" s="27" t="str">
        <f>INDEX(A18:A24,MATCH(MAX(B18:B24),B18:B24,0))</f>
        <v>Apr</v>
      </c>
      <c r="B29" s="27"/>
    </row>
    <row r="32" spans="1:2">
      <c r="A32" s="24" t="s">
        <v>368</v>
      </c>
      <c r="B32" s="24"/>
    </row>
    <row r="33" spans="1:3">
      <c r="A33" s="17" t="s">
        <v>363</v>
      </c>
      <c r="B33" t="s">
        <v>365</v>
      </c>
    </row>
    <row r="34" spans="1:3">
      <c r="A34" s="23" t="s">
        <v>33</v>
      </c>
      <c r="B34" s="7">
        <v>2765060</v>
      </c>
    </row>
    <row r="35" spans="1:3">
      <c r="A35" s="18" t="s">
        <v>43</v>
      </c>
      <c r="B35" s="7">
        <v>4065840</v>
      </c>
    </row>
    <row r="36" spans="1:3">
      <c r="A36" s="18" t="s">
        <v>14</v>
      </c>
      <c r="B36" s="7">
        <v>2908430</v>
      </c>
    </row>
    <row r="37" spans="1:3">
      <c r="A37" s="18" t="s">
        <v>55</v>
      </c>
      <c r="B37" s="7">
        <v>2126380</v>
      </c>
    </row>
    <row r="38" spans="1:3">
      <c r="A38" s="18" t="s">
        <v>19</v>
      </c>
      <c r="B38" s="7">
        <v>3900840</v>
      </c>
    </row>
    <row r="39" spans="1:3">
      <c r="A39" s="18" t="s">
        <v>364</v>
      </c>
      <c r="B39" s="7">
        <v>15766550</v>
      </c>
    </row>
    <row r="48" spans="1:3">
      <c r="A48" s="24" t="s">
        <v>377</v>
      </c>
      <c r="B48" s="24"/>
      <c r="C48" s="24"/>
    </row>
    <row r="49" spans="1:3">
      <c r="A49" s="17" t="s">
        <v>363</v>
      </c>
      <c r="B49" t="s">
        <v>365</v>
      </c>
      <c r="C49" t="s">
        <v>366</v>
      </c>
    </row>
    <row r="50" spans="1:3">
      <c r="A50" s="18" t="s">
        <v>27</v>
      </c>
      <c r="B50" s="16">
        <v>2579690</v>
      </c>
      <c r="C50" s="16">
        <v>652600</v>
      </c>
    </row>
    <row r="51" spans="1:3">
      <c r="A51" s="18" t="s">
        <v>13</v>
      </c>
      <c r="B51" s="16">
        <v>2889340</v>
      </c>
      <c r="C51" s="16">
        <v>726470</v>
      </c>
    </row>
    <row r="52" spans="1:3">
      <c r="A52" s="18" t="s">
        <v>18</v>
      </c>
      <c r="B52" s="16">
        <v>2728780</v>
      </c>
      <c r="C52" s="16">
        <v>747520</v>
      </c>
    </row>
    <row r="53" spans="1:3">
      <c r="A53" s="18" t="s">
        <v>35</v>
      </c>
      <c r="B53" s="16">
        <v>3774800</v>
      </c>
      <c r="C53" s="16">
        <v>941220</v>
      </c>
    </row>
    <row r="54" spans="1:3">
      <c r="A54" s="18" t="s">
        <v>50</v>
      </c>
      <c r="B54" s="16">
        <v>2340840</v>
      </c>
      <c r="C54" s="16">
        <v>561590</v>
      </c>
    </row>
    <row r="55" spans="1:3">
      <c r="A55" s="18" t="s">
        <v>39</v>
      </c>
      <c r="B55" s="16">
        <v>4312320</v>
      </c>
      <c r="C55" s="16">
        <v>1048170</v>
      </c>
    </row>
    <row r="56" spans="1:3">
      <c r="A56" s="18" t="s">
        <v>364</v>
      </c>
      <c r="B56" s="16">
        <v>18625770</v>
      </c>
      <c r="C56" s="16">
        <v>4677570</v>
      </c>
    </row>
    <row r="60" spans="1:3">
      <c r="A60" s="17" t="s">
        <v>363</v>
      </c>
      <c r="B60" t="s">
        <v>366</v>
      </c>
    </row>
    <row r="61" spans="1:3">
      <c r="A61" s="18" t="s">
        <v>24</v>
      </c>
      <c r="B61" s="16">
        <v>386070</v>
      </c>
    </row>
    <row r="62" spans="1:3">
      <c r="A62" s="18" t="s">
        <v>15</v>
      </c>
      <c r="B62" s="16">
        <v>3256100</v>
      </c>
    </row>
    <row r="63" spans="1:3">
      <c r="A63" s="18" t="s">
        <v>31</v>
      </c>
      <c r="B63" s="16">
        <v>1035400</v>
      </c>
    </row>
    <row r="64" spans="1:3">
      <c r="A64" s="18" t="s">
        <v>364</v>
      </c>
      <c r="B64" s="16">
        <v>4677570</v>
      </c>
    </row>
  </sheetData>
  <mergeCells count="7">
    <mergeCell ref="A48:C48"/>
    <mergeCell ref="A2:B2"/>
    <mergeCell ref="A32:B32"/>
    <mergeCell ref="A16:B16"/>
    <mergeCell ref="A27:B27"/>
    <mergeCell ref="A28:B28"/>
    <mergeCell ref="A29:B29"/>
  </mergeCells>
  <conditionalFormatting sqref="A34:A43">
    <cfRule type="top10" dxfId="37" priority="1" rank="5"/>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tabSelected="1" view="pageBreakPreview" zoomScale="60" zoomScaleNormal="100" workbookViewId="0">
      <selection activeCell="S7" sqref="S7"/>
    </sheetView>
  </sheetViews>
  <sheetFormatPr defaultRowHeight="15"/>
  <cols>
    <col min="1" max="1" width="24.42578125" bestFit="1" customWidth="1"/>
    <col min="2" max="3" width="16.85546875" bestFit="1" customWidth="1"/>
    <col min="4" max="4" width="16.5703125" bestFit="1" customWidth="1"/>
    <col min="5" max="5" width="19.42578125" bestFit="1" customWidth="1"/>
    <col min="6" max="6" width="19.7109375" bestFit="1" customWidth="1"/>
    <col min="7" max="7" width="24" bestFit="1" customWidth="1"/>
  </cols>
  <sheetData>
    <row r="1" spans="1:7">
      <c r="A1" s="28" t="s">
        <v>348</v>
      </c>
      <c r="B1" s="20" t="s">
        <v>349</v>
      </c>
      <c r="C1" s="20" t="s">
        <v>350</v>
      </c>
      <c r="D1" s="20" t="s">
        <v>351</v>
      </c>
      <c r="E1" s="20" t="s">
        <v>352</v>
      </c>
      <c r="F1" s="20" t="s">
        <v>353</v>
      </c>
      <c r="G1" s="20" t="s">
        <v>354</v>
      </c>
    </row>
    <row r="2" spans="1:7">
      <c r="A2" s="28"/>
      <c r="B2" s="21">
        <v>18625770</v>
      </c>
      <c r="C2" s="21">
        <v>13948200</v>
      </c>
      <c r="D2" s="21">
        <v>4677570</v>
      </c>
      <c r="E2" s="22">
        <v>1346</v>
      </c>
      <c r="F2" s="22">
        <v>62085.9</v>
      </c>
      <c r="G2" s="22">
        <v>300</v>
      </c>
    </row>
  </sheetData>
  <mergeCells count="1">
    <mergeCell ref="A1:A2"/>
  </mergeCells>
  <pageMargins left="0.7" right="0.7" top="0.75" bottom="0.75" header="0.3" footer="0.3"/>
  <pageSetup scale="51"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 Data</vt:lpstr>
      <vt:lpstr>Project Guide</vt:lpstr>
      <vt:lpstr>Analysis</vt:lpstr>
      <vt:lpstr>Pivot Table</vt:lpstr>
      <vt:lpstr>Analysis Report</vt:lpstr>
      <vt:lpstr>'Analysis Report'!Print_Area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2026-08-13T04:39:09Z</dcterms:created>
  <dcterms:modified xsi:type="dcterms:W3CDTF">2026-08-15T03:28:11Z</dcterms:modified>
</cp:coreProperties>
</file>